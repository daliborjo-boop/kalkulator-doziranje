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golubic\Downloads\"/>
    </mc:Choice>
  </mc:AlternateContent>
  <xr:revisionPtr revIDLastSave="0" documentId="8_{3DAFD3DB-E979-4930-9F2D-A362F70723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ALKULATOR" sheetId="1" r:id="rId1"/>
    <sheet name="PROGRAM" sheetId="3" r:id="rId2"/>
    <sheet name="PROIZVODI" sheetId="2" r:id="rId3"/>
    <sheet name="RETRO KALKULACIJA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4" l="1"/>
  <c r="G12" i="4"/>
  <c r="F12" i="4"/>
  <c r="E12" i="4"/>
  <c r="D12" i="4"/>
  <c r="I12" i="4" s="1"/>
  <c r="H11" i="4"/>
  <c r="G11" i="4"/>
  <c r="F11" i="4"/>
  <c r="E11" i="4"/>
  <c r="D11" i="4"/>
  <c r="I11" i="4" s="1"/>
  <c r="H10" i="4"/>
  <c r="G10" i="4"/>
  <c r="F10" i="4"/>
  <c r="I10" i="4" s="1"/>
  <c r="E10" i="4"/>
  <c r="D10" i="4"/>
  <c r="H9" i="4"/>
  <c r="G9" i="4"/>
  <c r="F9" i="4"/>
  <c r="E9" i="4"/>
  <c r="D9" i="4"/>
  <c r="I9" i="4" s="1"/>
  <c r="M8" i="4"/>
  <c r="H8" i="4"/>
  <c r="G8" i="4"/>
  <c r="F8" i="4"/>
  <c r="I8" i="4" s="1"/>
  <c r="E8" i="4"/>
  <c r="D8" i="4"/>
  <c r="M7" i="4"/>
  <c r="H7" i="4"/>
  <c r="G7" i="4"/>
  <c r="F7" i="4"/>
  <c r="E7" i="4"/>
  <c r="D7" i="4"/>
  <c r="I7" i="4" s="1"/>
  <c r="M6" i="4"/>
  <c r="H6" i="4"/>
  <c r="G6" i="4"/>
  <c r="F6" i="4"/>
  <c r="E6" i="4"/>
  <c r="I6" i="4" s="1"/>
  <c r="D6" i="4"/>
  <c r="M5" i="4"/>
  <c r="H5" i="4"/>
  <c r="G5" i="4"/>
  <c r="F5" i="4"/>
  <c r="E5" i="4"/>
  <c r="D5" i="4"/>
  <c r="I5" i="4" s="1"/>
  <c r="M4" i="4"/>
  <c r="H4" i="4"/>
  <c r="G4" i="4"/>
  <c r="L7" i="4" s="1"/>
  <c r="F4" i="4"/>
  <c r="E4" i="4"/>
  <c r="D4" i="4"/>
  <c r="L4" i="4" s="1"/>
  <c r="E6" i="2"/>
  <c r="F6" i="2" s="1"/>
  <c r="G6" i="2" s="1"/>
  <c r="D6" i="2"/>
  <c r="E5" i="2"/>
  <c r="F5" i="2" s="1"/>
  <c r="G5" i="2" s="1"/>
  <c r="D5" i="2"/>
  <c r="E4" i="2"/>
  <c r="F4" i="2" s="1"/>
  <c r="G4" i="2" s="1"/>
  <c r="D4" i="2"/>
  <c r="E3" i="2"/>
  <c r="F3" i="2" s="1"/>
  <c r="G3" i="2" s="1"/>
  <c r="D3" i="2"/>
  <c r="E2" i="2"/>
  <c r="F2" i="2" s="1"/>
  <c r="G2" i="2" s="1"/>
  <c r="D2" i="2"/>
  <c r="M54" i="3"/>
  <c r="L54" i="3"/>
  <c r="K54" i="3"/>
  <c r="J54" i="3"/>
  <c r="H54" i="3"/>
  <c r="M53" i="3"/>
  <c r="L53" i="3"/>
  <c r="K53" i="3"/>
  <c r="J53" i="3"/>
  <c r="H53" i="3"/>
  <c r="M52" i="3"/>
  <c r="L52" i="3"/>
  <c r="K52" i="3"/>
  <c r="J52" i="3"/>
  <c r="H52" i="3"/>
  <c r="M51" i="3"/>
  <c r="L51" i="3"/>
  <c r="K51" i="3"/>
  <c r="J51" i="3"/>
  <c r="H51" i="3"/>
  <c r="M50" i="3"/>
  <c r="L50" i="3"/>
  <c r="K50" i="3"/>
  <c r="J50" i="3"/>
  <c r="H50" i="3"/>
  <c r="M49" i="3"/>
  <c r="L49" i="3"/>
  <c r="K49" i="3"/>
  <c r="J49" i="3"/>
  <c r="H49" i="3"/>
  <c r="M48" i="3"/>
  <c r="L48" i="3"/>
  <c r="K48" i="3"/>
  <c r="J48" i="3"/>
  <c r="H48" i="3"/>
  <c r="M47" i="3"/>
  <c r="L47" i="3"/>
  <c r="K47" i="3"/>
  <c r="J47" i="3"/>
  <c r="H47" i="3"/>
  <c r="M46" i="3"/>
  <c r="L46" i="3"/>
  <c r="K46" i="3"/>
  <c r="J46" i="3"/>
  <c r="H46" i="3"/>
  <c r="M45" i="3"/>
  <c r="L45" i="3"/>
  <c r="K45" i="3"/>
  <c r="J45" i="3"/>
  <c r="H45" i="3"/>
  <c r="M44" i="3"/>
  <c r="L44" i="3"/>
  <c r="K44" i="3"/>
  <c r="J44" i="3"/>
  <c r="H44" i="3"/>
  <c r="M43" i="3"/>
  <c r="L43" i="3"/>
  <c r="K43" i="3"/>
  <c r="J43" i="3"/>
  <c r="H43" i="3"/>
  <c r="M42" i="3"/>
  <c r="L42" i="3"/>
  <c r="K42" i="3"/>
  <c r="J42" i="3"/>
  <c r="H42" i="3"/>
  <c r="M41" i="3"/>
  <c r="L41" i="3"/>
  <c r="K41" i="3"/>
  <c r="J41" i="3"/>
  <c r="H41" i="3"/>
  <c r="M40" i="3"/>
  <c r="L40" i="3"/>
  <c r="K40" i="3"/>
  <c r="J40" i="3"/>
  <c r="H40" i="3"/>
  <c r="M39" i="3"/>
  <c r="L39" i="3"/>
  <c r="K39" i="3"/>
  <c r="J39" i="3"/>
  <c r="H39" i="3"/>
  <c r="M38" i="3"/>
  <c r="L38" i="3"/>
  <c r="K38" i="3"/>
  <c r="J38" i="3"/>
  <c r="H38" i="3"/>
  <c r="M37" i="3"/>
  <c r="L37" i="3"/>
  <c r="K37" i="3"/>
  <c r="J37" i="3"/>
  <c r="H37" i="3"/>
  <c r="M36" i="3"/>
  <c r="L36" i="3"/>
  <c r="K36" i="3"/>
  <c r="J36" i="3"/>
  <c r="H36" i="3"/>
  <c r="M35" i="3"/>
  <c r="L35" i="3"/>
  <c r="K35" i="3"/>
  <c r="J35" i="3"/>
  <c r="H35" i="3"/>
  <c r="M34" i="3"/>
  <c r="L34" i="3"/>
  <c r="K34" i="3"/>
  <c r="J34" i="3"/>
  <c r="H34" i="3"/>
  <c r="M33" i="3"/>
  <c r="L33" i="3"/>
  <c r="K33" i="3"/>
  <c r="J33" i="3"/>
  <c r="H33" i="3"/>
  <c r="M32" i="3"/>
  <c r="L32" i="3"/>
  <c r="K32" i="3"/>
  <c r="J32" i="3"/>
  <c r="H32" i="3"/>
  <c r="M31" i="3"/>
  <c r="L31" i="3"/>
  <c r="K31" i="3"/>
  <c r="J31" i="3"/>
  <c r="H31" i="3"/>
  <c r="M30" i="3"/>
  <c r="L30" i="3"/>
  <c r="K30" i="3"/>
  <c r="J30" i="3"/>
  <c r="H30" i="3"/>
  <c r="M29" i="3"/>
  <c r="L29" i="3"/>
  <c r="K29" i="3"/>
  <c r="J29" i="3"/>
  <c r="H29" i="3"/>
  <c r="M28" i="3"/>
  <c r="L28" i="3"/>
  <c r="K28" i="3"/>
  <c r="J28" i="3"/>
  <c r="H28" i="3"/>
  <c r="M27" i="3"/>
  <c r="L27" i="3"/>
  <c r="K27" i="3"/>
  <c r="J27" i="3"/>
  <c r="H27" i="3"/>
  <c r="M26" i="3"/>
  <c r="L26" i="3"/>
  <c r="K26" i="3"/>
  <c r="J26" i="3"/>
  <c r="H26" i="3"/>
  <c r="M25" i="3"/>
  <c r="L25" i="3"/>
  <c r="K25" i="3"/>
  <c r="J25" i="3"/>
  <c r="H25" i="3"/>
  <c r="M24" i="3"/>
  <c r="L24" i="3"/>
  <c r="K24" i="3"/>
  <c r="J24" i="3"/>
  <c r="H24" i="3"/>
  <c r="M23" i="3"/>
  <c r="L23" i="3"/>
  <c r="K23" i="3"/>
  <c r="J23" i="3"/>
  <c r="H23" i="3"/>
  <c r="M22" i="3"/>
  <c r="L22" i="3"/>
  <c r="K22" i="3"/>
  <c r="J22" i="3"/>
  <c r="H22" i="3"/>
  <c r="M21" i="3"/>
  <c r="L21" i="3"/>
  <c r="K21" i="3"/>
  <c r="J21" i="3"/>
  <c r="H21" i="3"/>
  <c r="M20" i="3"/>
  <c r="L20" i="3"/>
  <c r="K20" i="3"/>
  <c r="J20" i="3"/>
  <c r="H20" i="3"/>
  <c r="M19" i="3"/>
  <c r="L19" i="3"/>
  <c r="K19" i="3"/>
  <c r="J19" i="3"/>
  <c r="H19" i="3"/>
  <c r="M18" i="3"/>
  <c r="L18" i="3"/>
  <c r="K18" i="3"/>
  <c r="J18" i="3"/>
  <c r="H18" i="3"/>
  <c r="M17" i="3"/>
  <c r="L17" i="3"/>
  <c r="K17" i="3"/>
  <c r="J17" i="3"/>
  <c r="H17" i="3"/>
  <c r="M16" i="3"/>
  <c r="L16" i="3"/>
  <c r="K16" i="3"/>
  <c r="J16" i="3"/>
  <c r="C19" i="1" s="1"/>
  <c r="H16" i="3"/>
  <c r="M15" i="3"/>
  <c r="L15" i="3"/>
  <c r="K15" i="3"/>
  <c r="J15" i="3"/>
  <c r="H15" i="3"/>
  <c r="M14" i="3"/>
  <c r="L14" i="3"/>
  <c r="K14" i="3"/>
  <c r="J14" i="3"/>
  <c r="H14" i="3"/>
  <c r="M13" i="3"/>
  <c r="L13" i="3"/>
  <c r="K13" i="3"/>
  <c r="J13" i="3"/>
  <c r="D19" i="1" s="1"/>
  <c r="E19" i="1" s="1"/>
  <c r="H13" i="3"/>
  <c r="M12" i="3"/>
  <c r="L12" i="3"/>
  <c r="K12" i="3"/>
  <c r="J12" i="3"/>
  <c r="H12" i="3"/>
  <c r="M11" i="3"/>
  <c r="L11" i="3"/>
  <c r="K11" i="3"/>
  <c r="J11" i="3"/>
  <c r="H11" i="3"/>
  <c r="M10" i="3"/>
  <c r="L10" i="3"/>
  <c r="K10" i="3"/>
  <c r="J10" i="3"/>
  <c r="C14" i="1" s="1"/>
  <c r="H10" i="3"/>
  <c r="M9" i="3"/>
  <c r="L9" i="3"/>
  <c r="K9" i="3"/>
  <c r="J9" i="3"/>
  <c r="H9" i="3"/>
  <c r="M8" i="3"/>
  <c r="L8" i="3"/>
  <c r="K8" i="3"/>
  <c r="J8" i="3"/>
  <c r="H8" i="3"/>
  <c r="M7" i="3"/>
  <c r="L7" i="3"/>
  <c r="K7" i="3"/>
  <c r="J7" i="3"/>
  <c r="D14" i="1" s="1"/>
  <c r="E14" i="1" s="1"/>
  <c r="H7" i="3"/>
  <c r="M6" i="3"/>
  <c r="L6" i="3"/>
  <c r="K6" i="3"/>
  <c r="J6" i="3"/>
  <c r="H6" i="3"/>
  <c r="M5" i="3"/>
  <c r="L5" i="3"/>
  <c r="K5" i="3"/>
  <c r="J5" i="3"/>
  <c r="H5" i="3"/>
  <c r="M4" i="3"/>
  <c r="L4" i="3"/>
  <c r="K4" i="3"/>
  <c r="J4" i="3"/>
  <c r="C16" i="1" s="1"/>
  <c r="H4" i="3"/>
  <c r="M3" i="3"/>
  <c r="L3" i="3"/>
  <c r="K3" i="3"/>
  <c r="J3" i="3"/>
  <c r="H3" i="3"/>
  <c r="M2" i="3"/>
  <c r="L2" i="3"/>
  <c r="K2" i="3"/>
  <c r="J2" i="3"/>
  <c r="H2" i="3"/>
  <c r="F22" i="1"/>
  <c r="D16" i="1"/>
  <c r="E16" i="1" s="1"/>
  <c r="B14" i="1"/>
  <c r="D11" i="1"/>
  <c r="E11" i="1" s="1"/>
  <c r="C11" i="1"/>
  <c r="B11" i="1"/>
  <c r="G11" i="1" l="1"/>
  <c r="L5" i="4"/>
  <c r="L8" i="4"/>
  <c r="N8" i="4" s="1"/>
  <c r="N4" i="4"/>
  <c r="O4" i="4" s="1"/>
  <c r="N7" i="4"/>
  <c r="O7" i="4"/>
  <c r="G14" i="1"/>
  <c r="F14" i="1"/>
  <c r="F16" i="1"/>
  <c r="G16" i="1"/>
  <c r="G19" i="1"/>
  <c r="F19" i="1"/>
  <c r="B19" i="1"/>
  <c r="L6" i="4"/>
  <c r="L10" i="4" s="1"/>
  <c r="F11" i="1"/>
  <c r="D12" i="1"/>
  <c r="E12" i="1" s="1"/>
  <c r="C15" i="1"/>
  <c r="B10" i="1"/>
  <c r="D15" i="1"/>
  <c r="E15" i="1" s="1"/>
  <c r="B18" i="1"/>
  <c r="B17" i="1"/>
  <c r="B12" i="1"/>
  <c r="C10" i="1"/>
  <c r="C18" i="1"/>
  <c r="I4" i="4"/>
  <c r="D18" i="1"/>
  <c r="E18" i="1" s="1"/>
  <c r="D17" i="1"/>
  <c r="E17" i="1" s="1"/>
  <c r="B15" i="1"/>
  <c r="D13" i="1"/>
  <c r="E13" i="1" s="1"/>
  <c r="C17" i="1"/>
  <c r="C12" i="1"/>
  <c r="D10" i="1"/>
  <c r="E10" i="1" s="1"/>
  <c r="B13" i="1"/>
  <c r="C13" i="1"/>
  <c r="B16" i="1"/>
  <c r="O8" i="4" l="1"/>
  <c r="N5" i="4"/>
  <c r="O5" i="4" s="1"/>
  <c r="F15" i="1"/>
  <c r="G15" i="1"/>
  <c r="G12" i="1"/>
  <c r="F12" i="1"/>
  <c r="G18" i="1"/>
  <c r="F18" i="1"/>
  <c r="G10" i="1"/>
  <c r="F10" i="1"/>
  <c r="F13" i="1"/>
  <c r="G13" i="1"/>
  <c r="F17" i="1"/>
  <c r="G17" i="1"/>
  <c r="O6" i="4"/>
  <c r="N6" i="4"/>
  <c r="F23" i="1" l="1"/>
  <c r="F21" i="1"/>
</calcChain>
</file>

<file path=xl/sharedStrings.xml><?xml version="1.0" encoding="utf-8"?>
<sst xmlns="http://schemas.openxmlformats.org/spreadsheetml/2006/main" count="242" uniqueCount="51">
  <si>
    <t>KALKULATOR DOZIRANJA</t>
  </si>
  <si>
    <t>KAPACITET PERILICE (KG)</t>
  </si>
  <si>
    <t>PROGRAM</t>
  </si>
  <si>
    <t>POSTELJINA PREDPRANJE</t>
  </si>
  <si>
    <t>FAZA</t>
  </si>
  <si>
    <t>PROIZVOD</t>
  </si>
  <si>
    <t>DOZA (g/kg)</t>
  </si>
  <si>
    <t>NAPOMENA</t>
  </si>
  <si>
    <t>Popis programa</t>
  </si>
  <si>
    <t>POSTELJINA OTKUHAVANJE</t>
  </si>
  <si>
    <t>GLAVNO PRANJE</t>
  </si>
  <si>
    <t>BASIC</t>
  </si>
  <si>
    <t>IDEJE ZA NAZIVE</t>
  </si>
  <si>
    <t>SURF</t>
  </si>
  <si>
    <t>OXYGEN</t>
  </si>
  <si>
    <t>DA</t>
  </si>
  <si>
    <t>ISPIRANJE</t>
  </si>
  <si>
    <t>SOFT</t>
  </si>
  <si>
    <t>PREDPRANJE</t>
  </si>
  <si>
    <t>CHLOR</t>
  </si>
  <si>
    <t>POSTELJINA JAKO PRLJAVO/KLOR</t>
  </si>
  <si>
    <t>BIJELI STOLJNJACI/KUHINJA</t>
  </si>
  <si>
    <t>STOLJNJACI U BOJI</t>
  </si>
  <si>
    <t>ODJEĆA U BOJI</t>
  </si>
  <si>
    <t>ZAVJESE</t>
  </si>
  <si>
    <t>OSJETLJIVO</t>
  </si>
  <si>
    <t>PAKIRANJE kg</t>
  </si>
  <si>
    <t>CIJENA</t>
  </si>
  <si>
    <t>CIJENA PO GRAMU</t>
  </si>
  <si>
    <t>POPUST (%)</t>
  </si>
  <si>
    <t>KOLIČINA (g)</t>
  </si>
  <si>
    <t>PUNA CIJENA</t>
  </si>
  <si>
    <t>ZA NAPLATU</t>
  </si>
  <si>
    <t>KLJUČ</t>
  </si>
  <si>
    <t>KRVAVO/FEKALNO</t>
  </si>
  <si>
    <t>CIJENA S POPUSTOM</t>
  </si>
  <si>
    <t>CIJENA/g S POPUSTOM</t>
  </si>
  <si>
    <t>RETROGRADNA KALKULACIJA POTROŠNJE</t>
  </si>
  <si>
    <t>KAPACITET (kg)</t>
  </si>
  <si>
    <t>BROJ PRANJA</t>
  </si>
  <si>
    <t>BASIC (kg)</t>
  </si>
  <si>
    <t>SURF (kg)</t>
  </si>
  <si>
    <t>CHLOR (kg)</t>
  </si>
  <si>
    <t>OXYGEN (kg)</t>
  </si>
  <si>
    <t>SOFT (kg)</t>
  </si>
  <si>
    <t>UKUPNO (kg)</t>
  </si>
  <si>
    <t>PAKIRANJE (kg)</t>
  </si>
  <si>
    <t>KANISTERA (ekv.)</t>
  </si>
  <si>
    <t>CIJELIH KANISTERA</t>
  </si>
  <si>
    <t>UKUPNA POTROŠNJA (kg)</t>
  </si>
  <si>
    <t>UPORABA: U stupcu B upiši kapacitet perilice za taj program, a u stupcu C broj izvršenih pranja. Potrošnja svakog proizvoda, ukupni kilogrami i broj kanistera izračunavaju se automatski.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</si>
</sst>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0.000000"/>
    <numFmt numFmtId="167" formatCode="0.0"/>
  </numFmts>
  <fonts count="9" x14ac:knownFonts="1">
    <font>
      <sz val="11"/>
      <color theme="1"/>
      <name val="Calibri"/>
    </font>
    <font>
      <sz val="24"/>
      <color theme="1"/>
      <name val="Calibri"/>
    </font>
    <font>
      <b/>
      <sz val="16"/>
      <color rgb="FFFFFFFF"/>
      <name val="Calibri"/>
    </font>
    <font>
      <b/>
      <sz val="14"/>
      <color theme="1"/>
      <name val="Calibri"/>
    </font>
    <font>
      <b/>
      <sz val="11"/>
      <color theme="1"/>
      <name val="Calibri"/>
    </font>
    <font>
      <b/>
      <sz val="26"/>
      <color theme="1"/>
      <name val="Calibri"/>
    </font>
    <font>
      <b/>
      <sz val="11"/>
      <color rgb="FFFFFFFF"/>
      <name val="Calibri"/>
    </font>
    <font>
      <b/>
      <sz val="15"/>
      <color rgb="FFFFFFFF"/>
      <name val="Calibri"/>
    </font>
    <font>
      <i/>
      <sz val="11"/>
      <color theme="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70AD47"/>
      </patternFill>
    </fill>
    <fill>
      <patternFill patternType="solid">
        <fgColor rgb="FFEAF2F8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166" fontId="0" fillId="0" borderId="0" xfId="0" applyNumberFormat="1" applyAlignment="1">
      <alignment horizontal="center" vertical="center"/>
    </xf>
    <xf numFmtId="167" fontId="4" fillId="6" borderId="0" xfId="0" applyNumberFormat="1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7" fontId="0" fillId="0" borderId="0" xfId="0" applyNumberFormat="1"/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166" fontId="0" fillId="0" borderId="0" xfId="0" applyNumberFormat="1"/>
    <xf numFmtId="0" fontId="4" fillId="8" borderId="0" xfId="0" applyFont="1" applyFill="1"/>
    <xf numFmtId="165" fontId="4" fillId="8" borderId="0" xfId="0" applyNumberFormat="1" applyFont="1" applyFill="1"/>
    <xf numFmtId="0" fontId="6" fillId="9" borderId="0" xfId="0" applyFont="1" applyFill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12" borderId="0" xfId="0" applyFont="1" applyFill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65" fontId="4" fillId="8" borderId="11" xfId="0" applyNumberFormat="1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167" fontId="4" fillId="8" borderId="13" xfId="0" applyNumberFormat="1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165" fontId="4" fillId="8" borderId="16" xfId="0" applyNumberFormat="1" applyFont="1" applyFill="1" applyBorder="1" applyAlignment="1">
      <alignment horizontal="center" vertical="center"/>
    </xf>
    <xf numFmtId="0" fontId="0" fillId="0" borderId="17" xfId="0" applyBorder="1"/>
    <xf numFmtId="2" fontId="0" fillId="10" borderId="17" xfId="0" applyNumberFormat="1" applyFill="1" applyBorder="1" applyAlignment="1">
      <alignment horizontal="center"/>
    </xf>
    <xf numFmtId="1" fontId="0" fillId="10" borderId="17" xfId="0" applyNumberFormat="1" applyFill="1" applyBorder="1" applyAlignment="1">
      <alignment horizontal="center"/>
    </xf>
    <xf numFmtId="165" fontId="0" fillId="0" borderId="17" xfId="0" applyNumberFormat="1" applyBorder="1"/>
    <xf numFmtId="1" fontId="0" fillId="0" borderId="17" xfId="0" applyNumberFormat="1" applyBorder="1"/>
  </cellXfs>
  <cellStyles count="1">
    <cellStyle name="Normalno" xfId="0" builtinId="0"/>
  </cellStyles>
  <dxfs count="1">
    <dxf>
      <numFmt numFmtId="164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rogrami" displayName="tblProgrami" ref="A1:E54" totalsRowShown="0">
  <autoFilter ref="A1:E54" xr:uid="{00000000-0009-0000-0100-000001000000}"/>
  <tableColumns count="5">
    <tableColumn id="1" xr3:uid="{00000000-0010-0000-0000-000001000000}" name="PROGRAM"/>
    <tableColumn id="2" xr3:uid="{00000000-0010-0000-0000-000002000000}" name="FAZA"/>
    <tableColumn id="3" xr3:uid="{00000000-0010-0000-0000-000003000000}" name="PROIZVOD"/>
    <tableColumn id="4" xr3:uid="{00000000-0010-0000-0000-000004000000}" name="DOZA (g/kg)"/>
    <tableColumn id="5" xr3:uid="{00000000-0010-0000-0000-000005000000}" name="NAPOMEN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blProizvodi4" displayName="tblProizvodi4" ref="A1:D6" totalsRowShown="0">
  <autoFilter ref="A1:D6" xr:uid="{00000000-0009-0000-0100-000003000000}"/>
  <tableColumns count="4">
    <tableColumn id="1" xr3:uid="{00000000-0010-0000-0100-000001000000}" name="PROIZVOD"/>
    <tableColumn id="2" xr3:uid="{00000000-0010-0000-0100-000002000000}" name="PAKIRANJE kg"/>
    <tableColumn id="3" xr3:uid="{00000000-0010-0000-0100-000003000000}" name="CIJENA"/>
    <tableColumn id="4" xr3:uid="{00000000-0010-0000-0100-000004000000}" name="CIJENA PO GRAMU" dataDxfId="0">
      <calculatedColumnFormula>C2/(B2*1000)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3"/>
  <sheetViews>
    <sheetView tabSelected="1" workbookViewId="0">
      <selection activeCell="C7" sqref="C7"/>
    </sheetView>
  </sheetViews>
  <sheetFormatPr defaultRowHeight="15" x14ac:dyDescent="0.25"/>
  <cols>
    <col min="1" max="1" width="9.140625" style="1"/>
    <col min="2" max="2" width="29.7109375" style="1" bestFit="1" customWidth="1"/>
    <col min="3" max="3" width="76.28515625" style="1" customWidth="1"/>
    <col min="4" max="5" width="16" style="1" customWidth="1"/>
    <col min="6" max="6" width="14" style="1" customWidth="1"/>
    <col min="7" max="7" width="12.7109375" style="1" bestFit="1" customWidth="1"/>
    <col min="8" max="16384" width="9.140625" style="1"/>
  </cols>
  <sheetData>
    <row r="2" spans="2:7" ht="27.95" customHeight="1" x14ac:dyDescent="0.25">
      <c r="B2" s="17" t="s">
        <v>0</v>
      </c>
      <c r="C2" s="33"/>
    </row>
    <row r="4" spans="2:7" ht="18.75" x14ac:dyDescent="0.25">
      <c r="B4" s="20" t="s">
        <v>1</v>
      </c>
      <c r="C4" s="3">
        <v>100</v>
      </c>
    </row>
    <row r="5" spans="2:7" x14ac:dyDescent="0.25">
      <c r="B5" s="21"/>
      <c r="C5" s="21"/>
    </row>
    <row r="6" spans="2:7" ht="33.75" x14ac:dyDescent="0.25">
      <c r="B6" s="21" t="s">
        <v>2</v>
      </c>
      <c r="C6" s="22" t="s">
        <v>9</v>
      </c>
    </row>
    <row r="7" spans="2:7" x14ac:dyDescent="0.25">
      <c r="B7" s="21" t="s">
        <v>29</v>
      </c>
      <c r="C7" s="7"/>
    </row>
    <row r="9" spans="2:7" x14ac:dyDescent="0.25">
      <c r="B9" s="2" t="s">
        <v>4</v>
      </c>
      <c r="C9" s="2" t="s">
        <v>5</v>
      </c>
      <c r="D9" s="2" t="s">
        <v>6</v>
      </c>
      <c r="E9" s="2" t="s">
        <v>30</v>
      </c>
      <c r="F9" s="2" t="s">
        <v>27</v>
      </c>
      <c r="G9" s="1" t="s">
        <v>31</v>
      </c>
    </row>
    <row r="10" spans="2:7" x14ac:dyDescent="0.25">
      <c r="B10" s="23" t="str">
        <f>IFERROR(VLOOKUP($C$6&amp;"|1",PROGRAM!$J$2:$M$54,2,FALSE),"")</f>
        <v>GLAVNO PRANJE</v>
      </c>
      <c r="C10" s="24" t="str">
        <f>IFERROR(VLOOKUP($C$6&amp;"|1",PROGRAM!$J$2:$M$54,3,FALSE),"")</f>
        <v>BASIC</v>
      </c>
      <c r="D10" s="25">
        <f>IFERROR(VLOOKUP($C$6&amp;"|1",PROGRAM!$J$2:$M$54,4,FALSE),"")</f>
        <v>5</v>
      </c>
      <c r="E10" s="25">
        <f t="shared" ref="E10:E19" si="0">IF(D10="","",D10*$C$4)</f>
        <v>500</v>
      </c>
      <c r="F10" s="26">
        <f>IF(C10="","",E10*SUMIF(PROIZVODI!$A$2:$A$6,C10,PROIZVODI!$G$2:$G$6))</f>
        <v>2.7472527472527473</v>
      </c>
      <c r="G10" s="1">
        <f>IF(C10="","",E10*SUMIF(PROIZVODI!$A$2:$A$6,C10,PROIZVODI!$D$2:$D$6))</f>
        <v>2.7472527472527473</v>
      </c>
    </row>
    <row r="11" spans="2:7" x14ac:dyDescent="0.25">
      <c r="B11" s="27" t="str">
        <f>IFERROR(VLOOKUP($C$6&amp;"|2",PROGRAM!$J$2:$M$54,2,FALSE),"")</f>
        <v>GLAVNO PRANJE</v>
      </c>
      <c r="C11" s="1" t="str">
        <f>IFERROR(VLOOKUP($C$6&amp;"|2",PROGRAM!$J$2:$M$54,3,FALSE),"")</f>
        <v>SURF</v>
      </c>
      <c r="D11" s="10">
        <f>IFERROR(VLOOKUP($C$6&amp;"|2",PROGRAM!$J$2:$M$54,4,FALSE),"")</f>
        <v>3.5</v>
      </c>
      <c r="E11" s="10">
        <f t="shared" si="0"/>
        <v>350</v>
      </c>
      <c r="F11" s="28">
        <f>IF(C11="","",E11*SUMIF(PROIZVODI!$A$2:$A$6,C11,PROIZVODI!$G$2:$G$6))</f>
        <v>2.2580645161290325</v>
      </c>
      <c r="G11" s="1">
        <f>IF(C11="","",E11*SUMIF(PROIZVODI!$A$2:$A$6,C11,PROIZVODI!$D$2:$D$6))</f>
        <v>2.2580645161290325</v>
      </c>
    </row>
    <row r="12" spans="2:7" x14ac:dyDescent="0.25">
      <c r="B12" s="27" t="str">
        <f>IFERROR(VLOOKUP($C$6&amp;"|3",PROGRAM!$J$2:$M$54,2,FALSE),"")</f>
        <v>GLAVNO PRANJE</v>
      </c>
      <c r="C12" s="1" t="str">
        <f>IFERROR(VLOOKUP($C$6&amp;"|3",PROGRAM!$J$2:$M$54,3,FALSE),"")</f>
        <v>OXYGEN</v>
      </c>
      <c r="D12" s="10">
        <f>IFERROR(VLOOKUP($C$6&amp;"|3",PROGRAM!$J$2:$M$54,4,FALSE),"")</f>
        <v>7</v>
      </c>
      <c r="E12" s="10">
        <f t="shared" si="0"/>
        <v>700</v>
      </c>
      <c r="F12" s="28">
        <f>IF(C12="","",E12*SUMIF(PROIZVODI!$A$2:$A$6,C12,PROIZVODI!$G$2:$G$6))</f>
        <v>4.117647058823529</v>
      </c>
      <c r="G12" s="1">
        <f>IF(C12="","",E12*SUMIF(PROIZVODI!$A$2:$A$6,C12,PROIZVODI!$D$2:$D$6))</f>
        <v>4.117647058823529</v>
      </c>
    </row>
    <row r="13" spans="2:7" x14ac:dyDescent="0.25">
      <c r="B13" s="27" t="str">
        <f>IFERROR(VLOOKUP($C$6&amp;"|4",PROGRAM!$J$2:$M$54,2,FALSE),"")</f>
        <v>ISPIRANJE</v>
      </c>
      <c r="C13" s="1" t="str">
        <f>IFERROR(VLOOKUP($C$6&amp;"|4",PROGRAM!$J$2:$M$54,3,FALSE),"")</f>
        <v>SOFT</v>
      </c>
      <c r="D13" s="10">
        <f>IFERROR(VLOOKUP($C$6&amp;"|4",PROGRAM!$J$2:$M$54,4,FALSE),"")</f>
        <v>5.5</v>
      </c>
      <c r="E13" s="10">
        <f t="shared" si="0"/>
        <v>550</v>
      </c>
      <c r="F13" s="28">
        <f>IF(C13="","",E13*SUMIF(PROIZVODI!$A$2:$A$6,C13,PROIZVODI!$G$2:$G$6))</f>
        <v>3.666666666666667</v>
      </c>
      <c r="G13" s="1">
        <f>IF(C13="","",E13*SUMIF(PROIZVODI!$A$2:$A$6,C13,PROIZVODI!$D$2:$D$6))</f>
        <v>3.666666666666667</v>
      </c>
    </row>
    <row r="14" spans="2:7" x14ac:dyDescent="0.25">
      <c r="B14" s="27" t="str">
        <f>IFERROR(VLOOKUP($C$6&amp;"|5",PROGRAM!$J$2:$M$54,2,FALSE),"")</f>
        <v/>
      </c>
      <c r="C14" s="1" t="str">
        <f>IFERROR(VLOOKUP($C$6&amp;"|5",PROGRAM!$J$2:$M$54,3,FALSE),"")</f>
        <v/>
      </c>
      <c r="D14" s="10" t="str">
        <f>IFERROR(VLOOKUP($C$6&amp;"|5",PROGRAM!$J$2:$M$54,4,FALSE),"")</f>
        <v/>
      </c>
      <c r="E14" s="10" t="str">
        <f t="shared" si="0"/>
        <v/>
      </c>
      <c r="F14" s="28" t="str">
        <f>IF(C14="","",E14*SUMIF(PROIZVODI!$A$2:$A$6,C14,PROIZVODI!$G$2:$G$6))</f>
        <v/>
      </c>
      <c r="G14" s="1" t="str">
        <f>IF(C14="","",E14*SUMIF(PROIZVODI!$A$2:$A$6,C14,PROIZVODI!$D$2:$D$6))</f>
        <v/>
      </c>
    </row>
    <row r="15" spans="2:7" x14ac:dyDescent="0.25">
      <c r="B15" s="27" t="str">
        <f>IFERROR(VLOOKUP($C$6&amp;"|6",PROGRAM!$J$2:$M$54,2,FALSE),"")</f>
        <v/>
      </c>
      <c r="C15" s="1" t="str">
        <f>IFERROR(VLOOKUP($C$6&amp;"|6",PROGRAM!$J$2:$M$54,3,FALSE),"")</f>
        <v/>
      </c>
      <c r="D15" s="10" t="str">
        <f>IFERROR(VLOOKUP($C$6&amp;"|6",PROGRAM!$J$2:$M$54,4,FALSE),"")</f>
        <v/>
      </c>
      <c r="E15" s="10" t="str">
        <f t="shared" si="0"/>
        <v/>
      </c>
      <c r="F15" s="28" t="str">
        <f>IF(C15="","",E15*SUMIF(PROIZVODI!$A$2:$A$6,C15,PROIZVODI!$G$2:$G$6))</f>
        <v/>
      </c>
      <c r="G15" s="1" t="str">
        <f>IF(C15="","",E15*SUMIF(PROIZVODI!$A$2:$A$6,C15,PROIZVODI!$D$2:$D$6))</f>
        <v/>
      </c>
    </row>
    <row r="16" spans="2:7" x14ac:dyDescent="0.25">
      <c r="B16" s="27" t="str">
        <f>IFERROR(VLOOKUP($C$6&amp;"|7",PROGRAM!$J$2:$M$54,2,FALSE),"")</f>
        <v/>
      </c>
      <c r="C16" s="1" t="str">
        <f>IFERROR(VLOOKUP($C$6&amp;"|7",PROGRAM!$J$2:$M$54,3,FALSE),"")</f>
        <v/>
      </c>
      <c r="D16" s="10" t="str">
        <f>IFERROR(VLOOKUP($C$6&amp;"|7",PROGRAM!$J$2:$M$54,4,FALSE),"")</f>
        <v/>
      </c>
      <c r="E16" s="10" t="str">
        <f t="shared" si="0"/>
        <v/>
      </c>
      <c r="F16" s="28" t="str">
        <f>IF(C16="","",E16*SUMIF(PROIZVODI!$A$2:$A$6,C16,PROIZVODI!$G$2:$G$6))</f>
        <v/>
      </c>
      <c r="G16" s="1" t="str">
        <f>IF(C16="","",E16*SUMIF(PROIZVODI!$A$2:$A$6,C16,PROIZVODI!$D$2:$D$6))</f>
        <v/>
      </c>
    </row>
    <row r="17" spans="2:7" x14ac:dyDescent="0.25">
      <c r="B17" s="27" t="str">
        <f>IFERROR(VLOOKUP($C$6&amp;"|8",PROGRAM!$J$2:$M$54,2,FALSE),"")</f>
        <v/>
      </c>
      <c r="C17" s="1" t="str">
        <f>IFERROR(VLOOKUP($C$6&amp;"|8",PROGRAM!$J$2:$M$54,3,FALSE),"")</f>
        <v/>
      </c>
      <c r="D17" s="10" t="str">
        <f>IFERROR(VLOOKUP($C$6&amp;"|8",PROGRAM!$J$2:$M$54,4,FALSE),"")</f>
        <v/>
      </c>
      <c r="E17" s="10" t="str">
        <f t="shared" si="0"/>
        <v/>
      </c>
      <c r="F17" s="28" t="str">
        <f>IF(C17="","",E17*SUMIF(PROIZVODI!$A$2:$A$6,C17,PROIZVODI!$G$2:$G$6))</f>
        <v/>
      </c>
      <c r="G17" s="1" t="str">
        <f>IF(C17="","",E17*SUMIF(PROIZVODI!$A$2:$A$6,C17,PROIZVODI!$D$2:$D$6))</f>
        <v/>
      </c>
    </row>
    <row r="18" spans="2:7" x14ac:dyDescent="0.25">
      <c r="B18" s="27" t="str">
        <f>IFERROR(VLOOKUP($C$6&amp;"|9",PROGRAM!$J$2:$M$54,2,FALSE),"")</f>
        <v/>
      </c>
      <c r="C18" s="1" t="str">
        <f>IFERROR(VLOOKUP($C$6&amp;"|9",PROGRAM!$J$2:$M$54,3,FALSE),"")</f>
        <v/>
      </c>
      <c r="D18" s="10" t="str">
        <f>IFERROR(VLOOKUP($C$6&amp;"|9",PROGRAM!$J$2:$M$54,4,FALSE),"")</f>
        <v/>
      </c>
      <c r="E18" s="10" t="str">
        <f t="shared" si="0"/>
        <v/>
      </c>
      <c r="F18" s="28" t="str">
        <f>IF(C18="","",E18*SUMIF(PROIZVODI!$A$2:$A$6,C18,PROIZVODI!$G$2:$G$6))</f>
        <v/>
      </c>
      <c r="G18" s="1" t="str">
        <f>IF(C18="","",E18*SUMIF(PROIZVODI!$A$2:$A$6,C18,PROIZVODI!$D$2:$D$6))</f>
        <v/>
      </c>
    </row>
    <row r="19" spans="2:7" x14ac:dyDescent="0.25">
      <c r="B19" s="29" t="str">
        <f>IFERROR(VLOOKUP($C$6&amp;"|10",PROGRAM!$J$2:$M$54,2,FALSE),"")</f>
        <v/>
      </c>
      <c r="C19" s="30" t="str">
        <f>IFERROR(VLOOKUP($C$6&amp;"|10",PROGRAM!$J$2:$M$54,3,FALSE),"")</f>
        <v/>
      </c>
      <c r="D19" s="31" t="str">
        <f>IFERROR(VLOOKUP($C$6&amp;"|10",PROGRAM!$J$2:$M$54,4,FALSE),"")</f>
        <v/>
      </c>
      <c r="E19" s="31" t="str">
        <f t="shared" si="0"/>
        <v/>
      </c>
      <c r="F19" s="32" t="str">
        <f>IF(C19="","",E19*SUMIF(PROIZVODI!$A$2:$A$6,C19,PROIZVODI!$G$2:$G$6))</f>
        <v/>
      </c>
      <c r="G19" s="1" t="str">
        <f>IF(C19="","",E19*SUMIF(PROIZVODI!$A$2:$A$6,C19,PROIZVODI!$D$2:$D$6))</f>
        <v/>
      </c>
    </row>
    <row r="20" spans="2:7" x14ac:dyDescent="0.25">
      <c r="F20" s="34"/>
    </row>
    <row r="21" spans="2:7" x14ac:dyDescent="0.25">
      <c r="D21" s="35" t="s">
        <v>31</v>
      </c>
      <c r="E21" s="36"/>
      <c r="F21" s="37">
        <f>SUM(G10:G19)</f>
        <v>12.789630988871977</v>
      </c>
    </row>
    <row r="22" spans="2:7" x14ac:dyDescent="0.25">
      <c r="D22" s="38" t="s">
        <v>29</v>
      </c>
      <c r="E22" s="39"/>
      <c r="F22" s="40">
        <f>$C$7</f>
        <v>0</v>
      </c>
    </row>
    <row r="23" spans="2:7" x14ac:dyDescent="0.25">
      <c r="D23" s="41" t="s">
        <v>32</v>
      </c>
      <c r="E23" s="42"/>
      <c r="F23" s="43">
        <f>SUM(F10:F19)</f>
        <v>12.789630988871977</v>
      </c>
    </row>
  </sheetData>
  <mergeCells count="1">
    <mergeCell ref="B2:C2"/>
  </mergeCells>
  <dataValidations count="1">
    <dataValidation type="decimal" sqref="C7" xr:uid="{00000000-0002-0000-0000-000001000000}">
      <formula1>0</formula1>
      <formula2>100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PROGRAM!$G$2:$G$10</xm:f>
          </x14:formula1>
          <xm:sqref>C6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4"/>
  <sheetViews>
    <sheetView workbookViewId="0">
      <selection activeCell="A12" sqref="A12"/>
    </sheetView>
  </sheetViews>
  <sheetFormatPr defaultRowHeight="15" x14ac:dyDescent="0.25"/>
  <cols>
    <col min="1" max="1" width="30.85546875" style="1" bestFit="1" customWidth="1"/>
    <col min="2" max="2" width="15.85546875" style="1" bestFit="1" customWidth="1"/>
    <col min="3" max="3" width="14.85546875" style="1" bestFit="1" customWidth="1"/>
    <col min="4" max="4" width="16.28515625" style="1" bestFit="1" customWidth="1"/>
    <col min="5" max="5" width="12.42578125" style="1" customWidth="1"/>
    <col min="7" max="7" width="25" customWidth="1"/>
    <col min="8" max="8" width="3" customWidth="1"/>
    <col min="10" max="13" width="3" customWidth="1"/>
  </cols>
  <sheetData>
    <row r="1" spans="1:21" x14ac:dyDescent="0.25">
      <c r="A1" s="4" t="s">
        <v>2</v>
      </c>
      <c r="B1" s="4" t="s">
        <v>4</v>
      </c>
      <c r="C1" s="4" t="s">
        <v>5</v>
      </c>
      <c r="D1" s="4" t="s">
        <v>6</v>
      </c>
      <c r="E1" s="4" t="s">
        <v>7</v>
      </c>
      <c r="F1" s="5"/>
      <c r="G1" s="5" t="s">
        <v>8</v>
      </c>
      <c r="H1" t="s">
        <v>33</v>
      </c>
      <c r="J1" t="s">
        <v>33</v>
      </c>
      <c r="K1" t="s">
        <v>4</v>
      </c>
      <c r="L1" t="s">
        <v>5</v>
      </c>
      <c r="M1" t="s">
        <v>6</v>
      </c>
    </row>
    <row r="2" spans="1:21" x14ac:dyDescent="0.25">
      <c r="A2" s="1" t="s">
        <v>9</v>
      </c>
      <c r="B2" s="1" t="s">
        <v>10</v>
      </c>
      <c r="C2" s="1" t="s">
        <v>11</v>
      </c>
      <c r="D2" s="1">
        <v>5</v>
      </c>
      <c r="G2" t="s">
        <v>9</v>
      </c>
      <c r="H2" t="str">
        <f>A2&amp;"|"&amp;COUNTIF($A$2:A2,A2)</f>
        <v>POSTELJINA OTKUHAVANJE|1</v>
      </c>
      <c r="J2" t="str">
        <f>A2&amp;"|"&amp;COUNTIF($A$2:A2,A2)</f>
        <v>POSTELJINA OTKUHAVANJE|1</v>
      </c>
      <c r="K2" t="str">
        <f t="shared" ref="K2:K33" si="0">B2</f>
        <v>GLAVNO PRANJE</v>
      </c>
      <c r="L2" t="str">
        <f t="shared" ref="L2:L33" si="1">C2</f>
        <v>BASIC</v>
      </c>
      <c r="M2">
        <f t="shared" ref="M2:M33" si="2">D2</f>
        <v>5</v>
      </c>
      <c r="R2" t="s">
        <v>12</v>
      </c>
    </row>
    <row r="3" spans="1:21" x14ac:dyDescent="0.25">
      <c r="A3" s="1" t="s">
        <v>9</v>
      </c>
      <c r="B3" s="1" t="s">
        <v>10</v>
      </c>
      <c r="C3" s="1" t="s">
        <v>13</v>
      </c>
      <c r="D3" s="1">
        <v>3.5</v>
      </c>
      <c r="G3" t="s">
        <v>3</v>
      </c>
      <c r="H3" t="str">
        <f>A3&amp;"|"&amp;COUNTIF($A$2:A3,A3)</f>
        <v>POSTELJINA OTKUHAVANJE|2</v>
      </c>
      <c r="J3" t="str">
        <f>A3&amp;"|"&amp;COUNTIF($A$2:A3,A3)</f>
        <v>POSTELJINA OTKUHAVANJE|2</v>
      </c>
      <c r="K3" t="str">
        <f t="shared" si="0"/>
        <v>GLAVNO PRANJE</v>
      </c>
      <c r="L3" t="str">
        <f t="shared" si="1"/>
        <v>SURF</v>
      </c>
      <c r="M3">
        <f t="shared" si="2"/>
        <v>3.5</v>
      </c>
    </row>
    <row r="4" spans="1:21" x14ac:dyDescent="0.25">
      <c r="A4" s="1" t="s">
        <v>9</v>
      </c>
      <c r="B4" s="1" t="s">
        <v>10</v>
      </c>
      <c r="C4" s="1" t="s">
        <v>14</v>
      </c>
      <c r="D4" s="1">
        <v>7</v>
      </c>
      <c r="G4" t="s">
        <v>20</v>
      </c>
      <c r="H4" t="str">
        <f>A4&amp;"|"&amp;COUNTIF($A$2:A4,A4)</f>
        <v>POSTELJINA OTKUHAVANJE|3</v>
      </c>
      <c r="J4" t="str">
        <f>A4&amp;"|"&amp;COUNTIF($A$2:A4,A4)</f>
        <v>POSTELJINA OTKUHAVANJE|3</v>
      </c>
      <c r="K4" t="str">
        <f t="shared" si="0"/>
        <v>GLAVNO PRANJE</v>
      </c>
      <c r="L4" t="str">
        <f t="shared" si="1"/>
        <v>OXYGEN</v>
      </c>
      <c r="M4">
        <f t="shared" si="2"/>
        <v>7</v>
      </c>
      <c r="U4" t="s">
        <v>15</v>
      </c>
    </row>
    <row r="5" spans="1:21" x14ac:dyDescent="0.25">
      <c r="A5" s="1" t="s">
        <v>9</v>
      </c>
      <c r="B5" s="1" t="s">
        <v>16</v>
      </c>
      <c r="C5" s="1" t="s">
        <v>17</v>
      </c>
      <c r="D5" s="1">
        <v>5.5</v>
      </c>
      <c r="G5" t="s">
        <v>21</v>
      </c>
      <c r="H5" t="str">
        <f>A5&amp;"|"&amp;COUNTIF($A$2:A5,A5)</f>
        <v>POSTELJINA OTKUHAVANJE|4</v>
      </c>
      <c r="J5" t="str">
        <f>A5&amp;"|"&amp;COUNTIF($A$2:A5,A5)</f>
        <v>POSTELJINA OTKUHAVANJE|4</v>
      </c>
      <c r="K5" t="str">
        <f t="shared" si="0"/>
        <v>ISPIRANJE</v>
      </c>
      <c r="L5" t="str">
        <f t="shared" si="1"/>
        <v>SOFT</v>
      </c>
      <c r="M5">
        <f t="shared" si="2"/>
        <v>5.5</v>
      </c>
      <c r="U5" t="s">
        <v>15</v>
      </c>
    </row>
    <row r="6" spans="1:21" x14ac:dyDescent="0.25">
      <c r="A6" s="1" t="s">
        <v>3</v>
      </c>
      <c r="B6" s="1" t="s">
        <v>18</v>
      </c>
      <c r="C6" s="1" t="s">
        <v>11</v>
      </c>
      <c r="D6" s="1">
        <v>3.5</v>
      </c>
      <c r="G6" t="s">
        <v>22</v>
      </c>
      <c r="H6" t="str">
        <f>A6&amp;"|"&amp;COUNTIF($A$2:A6,A6)</f>
        <v>POSTELJINA PREDPRANJE|1</v>
      </c>
      <c r="J6" t="str">
        <f>A6&amp;"|"&amp;COUNTIF($A$2:A6,A6)</f>
        <v>POSTELJINA PREDPRANJE|1</v>
      </c>
      <c r="K6" t="str">
        <f t="shared" si="0"/>
        <v>PREDPRANJE</v>
      </c>
      <c r="L6" t="str">
        <f t="shared" si="1"/>
        <v>BASIC</v>
      </c>
      <c r="M6">
        <f t="shared" si="2"/>
        <v>3.5</v>
      </c>
      <c r="U6" t="s">
        <v>15</v>
      </c>
    </row>
    <row r="7" spans="1:21" x14ac:dyDescent="0.25">
      <c r="A7" s="1" t="s">
        <v>3</v>
      </c>
      <c r="B7" s="1" t="s">
        <v>18</v>
      </c>
      <c r="C7" s="1" t="s">
        <v>13</v>
      </c>
      <c r="D7" s="1">
        <v>3</v>
      </c>
      <c r="G7" t="s">
        <v>23</v>
      </c>
      <c r="H7" t="str">
        <f>A7&amp;"|"&amp;COUNTIF($A$2:A7,A7)</f>
        <v>POSTELJINA PREDPRANJE|2</v>
      </c>
      <c r="J7" t="str">
        <f>A7&amp;"|"&amp;COUNTIF($A$2:A7,A7)</f>
        <v>POSTELJINA PREDPRANJE|2</v>
      </c>
      <c r="K7" t="str">
        <f t="shared" si="0"/>
        <v>PREDPRANJE</v>
      </c>
      <c r="L7" t="str">
        <f t="shared" si="1"/>
        <v>SURF</v>
      </c>
      <c r="M7">
        <f t="shared" si="2"/>
        <v>3</v>
      </c>
      <c r="U7" t="s">
        <v>15</v>
      </c>
    </row>
    <row r="8" spans="1:21" x14ac:dyDescent="0.25">
      <c r="A8" s="1" t="s">
        <v>3</v>
      </c>
      <c r="B8" s="1" t="s">
        <v>18</v>
      </c>
      <c r="C8" s="1" t="s">
        <v>19</v>
      </c>
      <c r="D8" s="1">
        <v>0</v>
      </c>
      <c r="G8" t="s">
        <v>24</v>
      </c>
      <c r="H8" t="str">
        <f>A8&amp;"|"&amp;COUNTIF($A$2:A8,A8)</f>
        <v>POSTELJINA PREDPRANJE|3</v>
      </c>
      <c r="J8" t="str">
        <f>A8&amp;"|"&amp;COUNTIF($A$2:A8,A8)</f>
        <v>POSTELJINA PREDPRANJE|3</v>
      </c>
      <c r="K8" t="str">
        <f t="shared" si="0"/>
        <v>PREDPRANJE</v>
      </c>
      <c r="L8" t="str">
        <f t="shared" si="1"/>
        <v>CHLOR</v>
      </c>
      <c r="M8">
        <f t="shared" si="2"/>
        <v>0</v>
      </c>
      <c r="U8" t="s">
        <v>15</v>
      </c>
    </row>
    <row r="9" spans="1:21" x14ac:dyDescent="0.25">
      <c r="A9" s="1" t="s">
        <v>3</v>
      </c>
      <c r="B9" s="1" t="s">
        <v>10</v>
      </c>
      <c r="C9" s="1" t="s">
        <v>11</v>
      </c>
      <c r="D9" s="1">
        <v>5</v>
      </c>
      <c r="G9" t="s">
        <v>25</v>
      </c>
      <c r="H9" t="str">
        <f>A9&amp;"|"&amp;COUNTIF($A$2:A9,A9)</f>
        <v>POSTELJINA PREDPRANJE|4</v>
      </c>
      <c r="J9" t="str">
        <f>A9&amp;"|"&amp;COUNTIF($A$2:A9,A9)</f>
        <v>POSTELJINA PREDPRANJE|4</v>
      </c>
      <c r="K9" t="str">
        <f t="shared" si="0"/>
        <v>GLAVNO PRANJE</v>
      </c>
      <c r="L9" t="str">
        <f t="shared" si="1"/>
        <v>BASIC</v>
      </c>
      <c r="M9">
        <f t="shared" si="2"/>
        <v>5</v>
      </c>
    </row>
    <row r="10" spans="1:21" x14ac:dyDescent="0.25">
      <c r="A10" s="1" t="s">
        <v>3</v>
      </c>
      <c r="B10" s="1" t="s">
        <v>10</v>
      </c>
      <c r="C10" s="1" t="s">
        <v>13</v>
      </c>
      <c r="D10" s="1">
        <v>3.5</v>
      </c>
      <c r="G10" t="s">
        <v>34</v>
      </c>
      <c r="H10" t="str">
        <f>A10&amp;"|"&amp;COUNTIF($A$2:A10,A10)</f>
        <v>POSTELJINA PREDPRANJE|5</v>
      </c>
      <c r="J10" t="str">
        <f>A10&amp;"|"&amp;COUNTIF($A$2:A10,A10)</f>
        <v>POSTELJINA PREDPRANJE|5</v>
      </c>
      <c r="K10" t="str">
        <f t="shared" si="0"/>
        <v>GLAVNO PRANJE</v>
      </c>
      <c r="L10" t="str">
        <f t="shared" si="1"/>
        <v>SURF</v>
      </c>
      <c r="M10">
        <f t="shared" si="2"/>
        <v>3.5</v>
      </c>
    </row>
    <row r="11" spans="1:21" x14ac:dyDescent="0.25">
      <c r="A11" s="1" t="s">
        <v>3</v>
      </c>
      <c r="B11" s="1" t="s">
        <v>10</v>
      </c>
      <c r="C11" s="1" t="s">
        <v>14</v>
      </c>
      <c r="D11" s="1">
        <v>7</v>
      </c>
      <c r="H11" t="str">
        <f>A11&amp;"|"&amp;COUNTIF($A$2:A11,A11)</f>
        <v>POSTELJINA PREDPRANJE|6</v>
      </c>
      <c r="J11" t="str">
        <f>A11&amp;"|"&amp;COUNTIF($A$2:A11,A11)</f>
        <v>POSTELJINA PREDPRANJE|6</v>
      </c>
      <c r="K11" t="str">
        <f t="shared" si="0"/>
        <v>GLAVNO PRANJE</v>
      </c>
      <c r="L11" t="str">
        <f t="shared" si="1"/>
        <v>OXYGEN</v>
      </c>
      <c r="M11">
        <f t="shared" si="2"/>
        <v>7</v>
      </c>
    </row>
    <row r="12" spans="1:21" x14ac:dyDescent="0.25">
      <c r="A12" s="1" t="s">
        <v>3</v>
      </c>
      <c r="B12" s="1" t="s">
        <v>16</v>
      </c>
      <c r="C12" s="1" t="s">
        <v>17</v>
      </c>
      <c r="D12" s="1">
        <v>5.5</v>
      </c>
      <c r="H12" t="str">
        <f>A12&amp;"|"&amp;COUNTIF($A$2:A12,A12)</f>
        <v>POSTELJINA PREDPRANJE|7</v>
      </c>
      <c r="J12" t="str">
        <f>A12&amp;"|"&amp;COUNTIF($A$2:A12,A12)</f>
        <v>POSTELJINA PREDPRANJE|7</v>
      </c>
      <c r="K12" t="str">
        <f t="shared" si="0"/>
        <v>ISPIRANJE</v>
      </c>
      <c r="L12" t="str">
        <f t="shared" si="1"/>
        <v>SOFT</v>
      </c>
      <c r="M12">
        <f t="shared" si="2"/>
        <v>5.5</v>
      </c>
    </row>
    <row r="13" spans="1:21" x14ac:dyDescent="0.25">
      <c r="A13" s="1" t="s">
        <v>20</v>
      </c>
      <c r="B13" s="1" t="s">
        <v>18</v>
      </c>
      <c r="C13" s="1" t="s">
        <v>11</v>
      </c>
      <c r="D13" s="1">
        <v>4</v>
      </c>
      <c r="H13" t="str">
        <f>A13&amp;"|"&amp;COUNTIF($A$2:A13,A13)</f>
        <v>POSTELJINA JAKO PRLJAVO/KLOR|1</v>
      </c>
      <c r="J13" t="str">
        <f>A13&amp;"|"&amp;COUNTIF($A$2:A13,A13)</f>
        <v>POSTELJINA JAKO PRLJAVO/KLOR|1</v>
      </c>
      <c r="K13" t="str">
        <f t="shared" si="0"/>
        <v>PREDPRANJE</v>
      </c>
      <c r="L13" t="str">
        <f t="shared" si="1"/>
        <v>BASIC</v>
      </c>
      <c r="M13">
        <f t="shared" si="2"/>
        <v>4</v>
      </c>
    </row>
    <row r="14" spans="1:21" x14ac:dyDescent="0.25">
      <c r="A14" s="1" t="s">
        <v>20</v>
      </c>
      <c r="B14" s="1" t="s">
        <v>18</v>
      </c>
      <c r="C14" s="1" t="s">
        <v>13</v>
      </c>
      <c r="D14" s="1">
        <v>3</v>
      </c>
      <c r="H14" t="str">
        <f>A14&amp;"|"&amp;COUNTIF($A$2:A14,A14)</f>
        <v>POSTELJINA JAKO PRLJAVO/KLOR|2</v>
      </c>
      <c r="J14" t="str">
        <f>A14&amp;"|"&amp;COUNTIF($A$2:A14,A14)</f>
        <v>POSTELJINA JAKO PRLJAVO/KLOR|2</v>
      </c>
      <c r="K14" t="str">
        <f t="shared" si="0"/>
        <v>PREDPRANJE</v>
      </c>
      <c r="L14" t="str">
        <f t="shared" si="1"/>
        <v>SURF</v>
      </c>
      <c r="M14">
        <f t="shared" si="2"/>
        <v>3</v>
      </c>
    </row>
    <row r="15" spans="1:21" x14ac:dyDescent="0.25">
      <c r="A15" s="1" t="s">
        <v>20</v>
      </c>
      <c r="B15" s="1" t="s">
        <v>18</v>
      </c>
      <c r="C15" s="1" t="s">
        <v>19</v>
      </c>
      <c r="D15" s="1">
        <v>10</v>
      </c>
      <c r="H15" t="str">
        <f>A15&amp;"|"&amp;COUNTIF($A$2:A15,A15)</f>
        <v>POSTELJINA JAKO PRLJAVO/KLOR|3</v>
      </c>
      <c r="J15" t="str">
        <f>A15&amp;"|"&amp;COUNTIF($A$2:A15,A15)</f>
        <v>POSTELJINA JAKO PRLJAVO/KLOR|3</v>
      </c>
      <c r="K15" t="str">
        <f t="shared" si="0"/>
        <v>PREDPRANJE</v>
      </c>
      <c r="L15" t="str">
        <f t="shared" si="1"/>
        <v>CHLOR</v>
      </c>
      <c r="M15">
        <f t="shared" si="2"/>
        <v>10</v>
      </c>
    </row>
    <row r="16" spans="1:21" x14ac:dyDescent="0.25">
      <c r="A16" s="1" t="s">
        <v>20</v>
      </c>
      <c r="B16" s="1" t="s">
        <v>10</v>
      </c>
      <c r="C16" s="1" t="s">
        <v>11</v>
      </c>
      <c r="D16" s="1">
        <v>6</v>
      </c>
      <c r="H16" t="str">
        <f>A16&amp;"|"&amp;COUNTIF($A$2:A16,A16)</f>
        <v>POSTELJINA JAKO PRLJAVO/KLOR|4</v>
      </c>
      <c r="J16" t="str">
        <f>A16&amp;"|"&amp;COUNTIF($A$2:A16,A16)</f>
        <v>POSTELJINA JAKO PRLJAVO/KLOR|4</v>
      </c>
      <c r="K16" t="str">
        <f t="shared" si="0"/>
        <v>GLAVNO PRANJE</v>
      </c>
      <c r="L16" t="str">
        <f t="shared" si="1"/>
        <v>BASIC</v>
      </c>
      <c r="M16">
        <f t="shared" si="2"/>
        <v>6</v>
      </c>
    </row>
    <row r="17" spans="1:13" x14ac:dyDescent="0.25">
      <c r="A17" s="1" t="s">
        <v>20</v>
      </c>
      <c r="B17" s="1" t="s">
        <v>10</v>
      </c>
      <c r="C17" s="1" t="s">
        <v>13</v>
      </c>
      <c r="D17" s="1">
        <v>4</v>
      </c>
      <c r="H17" t="str">
        <f>A17&amp;"|"&amp;COUNTIF($A$2:A17,A17)</f>
        <v>POSTELJINA JAKO PRLJAVO/KLOR|5</v>
      </c>
      <c r="J17" t="str">
        <f>A17&amp;"|"&amp;COUNTIF($A$2:A17,A17)</f>
        <v>POSTELJINA JAKO PRLJAVO/KLOR|5</v>
      </c>
      <c r="K17" t="str">
        <f t="shared" si="0"/>
        <v>GLAVNO PRANJE</v>
      </c>
      <c r="L17" t="str">
        <f t="shared" si="1"/>
        <v>SURF</v>
      </c>
      <c r="M17">
        <f t="shared" si="2"/>
        <v>4</v>
      </c>
    </row>
    <row r="18" spans="1:13" x14ac:dyDescent="0.25">
      <c r="A18" s="1" t="s">
        <v>20</v>
      </c>
      <c r="B18" s="1" t="s">
        <v>10</v>
      </c>
      <c r="C18" s="1" t="s">
        <v>14</v>
      </c>
      <c r="D18" s="1">
        <v>7</v>
      </c>
      <c r="H18" t="str">
        <f>A18&amp;"|"&amp;COUNTIF($A$2:A18,A18)</f>
        <v>POSTELJINA JAKO PRLJAVO/KLOR|6</v>
      </c>
      <c r="J18" t="str">
        <f>A18&amp;"|"&amp;COUNTIF($A$2:A18,A18)</f>
        <v>POSTELJINA JAKO PRLJAVO/KLOR|6</v>
      </c>
      <c r="K18" t="str">
        <f t="shared" si="0"/>
        <v>GLAVNO PRANJE</v>
      </c>
      <c r="L18" t="str">
        <f t="shared" si="1"/>
        <v>OXYGEN</v>
      </c>
      <c r="M18">
        <f t="shared" si="2"/>
        <v>7</v>
      </c>
    </row>
    <row r="19" spans="1:13" x14ac:dyDescent="0.25">
      <c r="A19" s="1" t="s">
        <v>20</v>
      </c>
      <c r="B19" s="1" t="s">
        <v>16</v>
      </c>
      <c r="C19" s="1" t="s">
        <v>17</v>
      </c>
      <c r="D19" s="1">
        <v>7</v>
      </c>
      <c r="H19" t="str">
        <f>A19&amp;"|"&amp;COUNTIF($A$2:A19,A19)</f>
        <v>POSTELJINA JAKO PRLJAVO/KLOR|7</v>
      </c>
      <c r="J19" t="str">
        <f>A19&amp;"|"&amp;COUNTIF($A$2:A19,A19)</f>
        <v>POSTELJINA JAKO PRLJAVO/KLOR|7</v>
      </c>
      <c r="K19" t="str">
        <f t="shared" si="0"/>
        <v>ISPIRANJE</v>
      </c>
      <c r="L19" t="str">
        <f t="shared" si="1"/>
        <v>SOFT</v>
      </c>
      <c r="M19">
        <f t="shared" si="2"/>
        <v>7</v>
      </c>
    </row>
    <row r="20" spans="1:13" x14ac:dyDescent="0.25">
      <c r="A20" s="1" t="s">
        <v>21</v>
      </c>
      <c r="B20" s="1" t="s">
        <v>18</v>
      </c>
      <c r="C20" s="1" t="s">
        <v>11</v>
      </c>
      <c r="D20" s="1">
        <v>4</v>
      </c>
      <c r="H20" t="str">
        <f>A20&amp;"|"&amp;COUNTIF($A$2:A20,A20)</f>
        <v>BIJELI STOLJNJACI/KUHINJA|1</v>
      </c>
      <c r="J20" t="str">
        <f>A20&amp;"|"&amp;COUNTIF($A$2:A20,A20)</f>
        <v>BIJELI STOLJNJACI/KUHINJA|1</v>
      </c>
      <c r="K20" t="str">
        <f t="shared" si="0"/>
        <v>PREDPRANJE</v>
      </c>
      <c r="L20" t="str">
        <f t="shared" si="1"/>
        <v>BASIC</v>
      </c>
      <c r="M20">
        <f t="shared" si="2"/>
        <v>4</v>
      </c>
    </row>
    <row r="21" spans="1:13" x14ac:dyDescent="0.25">
      <c r="A21" s="1" t="s">
        <v>21</v>
      </c>
      <c r="B21" s="1" t="s">
        <v>18</v>
      </c>
      <c r="C21" s="1" t="s">
        <v>13</v>
      </c>
      <c r="D21" s="1">
        <v>3</v>
      </c>
      <c r="H21" t="str">
        <f>A21&amp;"|"&amp;COUNTIF($A$2:A21,A21)</f>
        <v>BIJELI STOLJNJACI/KUHINJA|2</v>
      </c>
      <c r="J21" t="str">
        <f>A21&amp;"|"&amp;COUNTIF($A$2:A21,A21)</f>
        <v>BIJELI STOLJNJACI/KUHINJA|2</v>
      </c>
      <c r="K21" t="str">
        <f t="shared" si="0"/>
        <v>PREDPRANJE</v>
      </c>
      <c r="L21" t="str">
        <f t="shared" si="1"/>
        <v>SURF</v>
      </c>
      <c r="M21">
        <f t="shared" si="2"/>
        <v>3</v>
      </c>
    </row>
    <row r="22" spans="1:13" x14ac:dyDescent="0.25">
      <c r="A22" s="1" t="s">
        <v>21</v>
      </c>
      <c r="B22" s="1" t="s">
        <v>18</v>
      </c>
      <c r="C22" s="1" t="s">
        <v>19</v>
      </c>
      <c r="D22" s="1">
        <v>12</v>
      </c>
      <c r="H22" t="str">
        <f>A22&amp;"|"&amp;COUNTIF($A$2:A22,A22)</f>
        <v>BIJELI STOLJNJACI/KUHINJA|3</v>
      </c>
      <c r="J22" t="str">
        <f>A22&amp;"|"&amp;COUNTIF($A$2:A22,A22)</f>
        <v>BIJELI STOLJNJACI/KUHINJA|3</v>
      </c>
      <c r="K22" t="str">
        <f t="shared" si="0"/>
        <v>PREDPRANJE</v>
      </c>
      <c r="L22" t="str">
        <f t="shared" si="1"/>
        <v>CHLOR</v>
      </c>
      <c r="M22">
        <f t="shared" si="2"/>
        <v>12</v>
      </c>
    </row>
    <row r="23" spans="1:13" x14ac:dyDescent="0.25">
      <c r="A23" s="1" t="s">
        <v>21</v>
      </c>
      <c r="B23" s="1" t="s">
        <v>10</v>
      </c>
      <c r="C23" s="1" t="s">
        <v>11</v>
      </c>
      <c r="D23" s="1">
        <v>6</v>
      </c>
      <c r="H23" t="str">
        <f>A23&amp;"|"&amp;COUNTIF($A$2:A23,A23)</f>
        <v>BIJELI STOLJNJACI/KUHINJA|4</v>
      </c>
      <c r="J23" t="str">
        <f>A23&amp;"|"&amp;COUNTIF($A$2:A23,A23)</f>
        <v>BIJELI STOLJNJACI/KUHINJA|4</v>
      </c>
      <c r="K23" t="str">
        <f t="shared" si="0"/>
        <v>GLAVNO PRANJE</v>
      </c>
      <c r="L23" t="str">
        <f t="shared" si="1"/>
        <v>BASIC</v>
      </c>
      <c r="M23">
        <f t="shared" si="2"/>
        <v>6</v>
      </c>
    </row>
    <row r="24" spans="1:13" x14ac:dyDescent="0.25">
      <c r="A24" s="1" t="s">
        <v>21</v>
      </c>
      <c r="B24" s="1" t="s">
        <v>10</v>
      </c>
      <c r="C24" s="1" t="s">
        <v>13</v>
      </c>
      <c r="D24" s="1">
        <v>4</v>
      </c>
      <c r="H24" t="str">
        <f>A24&amp;"|"&amp;COUNTIF($A$2:A24,A24)</f>
        <v>BIJELI STOLJNJACI/KUHINJA|5</v>
      </c>
      <c r="J24" t="str">
        <f>A24&amp;"|"&amp;COUNTIF($A$2:A24,A24)</f>
        <v>BIJELI STOLJNJACI/KUHINJA|5</v>
      </c>
      <c r="K24" t="str">
        <f t="shared" si="0"/>
        <v>GLAVNO PRANJE</v>
      </c>
      <c r="L24" t="str">
        <f t="shared" si="1"/>
        <v>SURF</v>
      </c>
      <c r="M24">
        <f t="shared" si="2"/>
        <v>4</v>
      </c>
    </row>
    <row r="25" spans="1:13" x14ac:dyDescent="0.25">
      <c r="A25" s="1" t="s">
        <v>21</v>
      </c>
      <c r="B25" s="1" t="s">
        <v>10</v>
      </c>
      <c r="C25" s="1" t="s">
        <v>14</v>
      </c>
      <c r="D25" s="1">
        <v>7</v>
      </c>
      <c r="H25" t="str">
        <f>A25&amp;"|"&amp;COUNTIF($A$2:A25,A25)</f>
        <v>BIJELI STOLJNJACI/KUHINJA|6</v>
      </c>
      <c r="J25" t="str">
        <f>A25&amp;"|"&amp;COUNTIF($A$2:A25,A25)</f>
        <v>BIJELI STOLJNJACI/KUHINJA|6</v>
      </c>
      <c r="K25" t="str">
        <f t="shared" si="0"/>
        <v>GLAVNO PRANJE</v>
      </c>
      <c r="L25" t="str">
        <f t="shared" si="1"/>
        <v>OXYGEN</v>
      </c>
      <c r="M25">
        <f t="shared" si="2"/>
        <v>7</v>
      </c>
    </row>
    <row r="26" spans="1:13" x14ac:dyDescent="0.25">
      <c r="A26" s="1" t="s">
        <v>21</v>
      </c>
      <c r="B26" s="1" t="s">
        <v>16</v>
      </c>
      <c r="C26" s="1" t="s">
        <v>17</v>
      </c>
      <c r="D26" s="1">
        <v>2</v>
      </c>
      <c r="H26" t="str">
        <f>A26&amp;"|"&amp;COUNTIF($A$2:A26,A26)</f>
        <v>BIJELI STOLJNJACI/KUHINJA|7</v>
      </c>
      <c r="J26" t="str">
        <f>A26&amp;"|"&amp;COUNTIF($A$2:A26,A26)</f>
        <v>BIJELI STOLJNJACI/KUHINJA|7</v>
      </c>
      <c r="K26" t="str">
        <f t="shared" si="0"/>
        <v>ISPIRANJE</v>
      </c>
      <c r="L26" t="str">
        <f t="shared" si="1"/>
        <v>SOFT</v>
      </c>
      <c r="M26">
        <f t="shared" si="2"/>
        <v>2</v>
      </c>
    </row>
    <row r="27" spans="1:13" x14ac:dyDescent="0.25">
      <c r="A27" s="1" t="s">
        <v>22</v>
      </c>
      <c r="B27" s="1" t="s">
        <v>18</v>
      </c>
      <c r="C27" s="1" t="s">
        <v>11</v>
      </c>
      <c r="D27" s="1">
        <v>5</v>
      </c>
      <c r="H27" t="str">
        <f>A27&amp;"|"&amp;COUNTIF($A$2:A27,A27)</f>
        <v>STOLJNJACI U BOJI|1</v>
      </c>
      <c r="J27" t="str">
        <f>A27&amp;"|"&amp;COUNTIF($A$2:A27,A27)</f>
        <v>STOLJNJACI U BOJI|1</v>
      </c>
      <c r="K27" t="str">
        <f t="shared" si="0"/>
        <v>PREDPRANJE</v>
      </c>
      <c r="L27" t="str">
        <f t="shared" si="1"/>
        <v>BASIC</v>
      </c>
      <c r="M27">
        <f t="shared" si="2"/>
        <v>5</v>
      </c>
    </row>
    <row r="28" spans="1:13" x14ac:dyDescent="0.25">
      <c r="A28" s="1" t="s">
        <v>22</v>
      </c>
      <c r="B28" s="1" t="s">
        <v>18</v>
      </c>
      <c r="C28" s="1" t="s">
        <v>13</v>
      </c>
      <c r="D28" s="1">
        <v>2</v>
      </c>
      <c r="H28" t="str">
        <f>A28&amp;"|"&amp;COUNTIF($A$2:A28,A28)</f>
        <v>STOLJNJACI U BOJI|2</v>
      </c>
      <c r="J28" t="str">
        <f>A28&amp;"|"&amp;COUNTIF($A$2:A28,A28)</f>
        <v>STOLJNJACI U BOJI|2</v>
      </c>
      <c r="K28" t="str">
        <f t="shared" si="0"/>
        <v>PREDPRANJE</v>
      </c>
      <c r="L28" t="str">
        <f t="shared" si="1"/>
        <v>SURF</v>
      </c>
      <c r="M28">
        <f t="shared" si="2"/>
        <v>2</v>
      </c>
    </row>
    <row r="29" spans="1:13" x14ac:dyDescent="0.25">
      <c r="A29" s="1" t="s">
        <v>22</v>
      </c>
      <c r="B29" s="1" t="s">
        <v>18</v>
      </c>
      <c r="C29" s="1" t="s">
        <v>19</v>
      </c>
      <c r="D29" s="1">
        <v>5</v>
      </c>
      <c r="H29" t="str">
        <f>A29&amp;"|"&amp;COUNTIF($A$2:A29,A29)</f>
        <v>STOLJNJACI U BOJI|3</v>
      </c>
      <c r="J29" t="str">
        <f>A29&amp;"|"&amp;COUNTIF($A$2:A29,A29)</f>
        <v>STOLJNJACI U BOJI|3</v>
      </c>
      <c r="K29" t="str">
        <f t="shared" si="0"/>
        <v>PREDPRANJE</v>
      </c>
      <c r="L29" t="str">
        <f t="shared" si="1"/>
        <v>CHLOR</v>
      </c>
      <c r="M29">
        <f t="shared" si="2"/>
        <v>5</v>
      </c>
    </row>
    <row r="30" spans="1:13" x14ac:dyDescent="0.25">
      <c r="A30" s="1" t="s">
        <v>22</v>
      </c>
      <c r="B30" s="1" t="s">
        <v>10</v>
      </c>
      <c r="C30" s="1" t="s">
        <v>11</v>
      </c>
      <c r="D30" s="1">
        <v>6.5</v>
      </c>
      <c r="H30" t="str">
        <f>A30&amp;"|"&amp;COUNTIF($A$2:A30,A30)</f>
        <v>STOLJNJACI U BOJI|4</v>
      </c>
      <c r="J30" t="str">
        <f>A30&amp;"|"&amp;COUNTIF($A$2:A30,A30)</f>
        <v>STOLJNJACI U BOJI|4</v>
      </c>
      <c r="K30" t="str">
        <f t="shared" si="0"/>
        <v>GLAVNO PRANJE</v>
      </c>
      <c r="L30" t="str">
        <f t="shared" si="1"/>
        <v>BASIC</v>
      </c>
      <c r="M30">
        <f t="shared" si="2"/>
        <v>6.5</v>
      </c>
    </row>
    <row r="31" spans="1:13" x14ac:dyDescent="0.25">
      <c r="A31" s="1" t="s">
        <v>22</v>
      </c>
      <c r="B31" s="1" t="s">
        <v>10</v>
      </c>
      <c r="C31" s="1" t="s">
        <v>13</v>
      </c>
      <c r="D31" s="1">
        <v>3</v>
      </c>
      <c r="H31" t="str">
        <f>A31&amp;"|"&amp;COUNTIF($A$2:A31,A31)</f>
        <v>STOLJNJACI U BOJI|5</v>
      </c>
      <c r="J31" t="str">
        <f>A31&amp;"|"&amp;COUNTIF($A$2:A31,A31)</f>
        <v>STOLJNJACI U BOJI|5</v>
      </c>
      <c r="K31" t="str">
        <f t="shared" si="0"/>
        <v>GLAVNO PRANJE</v>
      </c>
      <c r="L31" t="str">
        <f t="shared" si="1"/>
        <v>SURF</v>
      </c>
      <c r="M31">
        <f t="shared" si="2"/>
        <v>3</v>
      </c>
    </row>
    <row r="32" spans="1:13" x14ac:dyDescent="0.25">
      <c r="A32" s="1" t="s">
        <v>22</v>
      </c>
      <c r="B32" s="1" t="s">
        <v>10</v>
      </c>
      <c r="C32" s="1" t="s">
        <v>14</v>
      </c>
      <c r="D32" s="1">
        <v>7</v>
      </c>
      <c r="H32" t="str">
        <f>A32&amp;"|"&amp;COUNTIF($A$2:A32,A32)</f>
        <v>STOLJNJACI U BOJI|6</v>
      </c>
      <c r="J32" t="str">
        <f>A32&amp;"|"&amp;COUNTIF($A$2:A32,A32)</f>
        <v>STOLJNJACI U BOJI|6</v>
      </c>
      <c r="K32" t="str">
        <f t="shared" si="0"/>
        <v>GLAVNO PRANJE</v>
      </c>
      <c r="L32" t="str">
        <f t="shared" si="1"/>
        <v>OXYGEN</v>
      </c>
      <c r="M32">
        <f t="shared" si="2"/>
        <v>7</v>
      </c>
    </row>
    <row r="33" spans="1:13" x14ac:dyDescent="0.25">
      <c r="A33" s="1" t="s">
        <v>22</v>
      </c>
      <c r="B33" s="1" t="s">
        <v>16</v>
      </c>
      <c r="C33" s="1" t="s">
        <v>17</v>
      </c>
      <c r="D33" s="1">
        <v>2</v>
      </c>
      <c r="H33" t="str">
        <f>A33&amp;"|"&amp;COUNTIF($A$2:A33,A33)</f>
        <v>STOLJNJACI U BOJI|7</v>
      </c>
      <c r="J33" t="str">
        <f>A33&amp;"|"&amp;COUNTIF($A$2:A33,A33)</f>
        <v>STOLJNJACI U BOJI|7</v>
      </c>
      <c r="K33" t="str">
        <f t="shared" si="0"/>
        <v>ISPIRANJE</v>
      </c>
      <c r="L33" t="str">
        <f t="shared" si="1"/>
        <v>SOFT</v>
      </c>
      <c r="M33">
        <f t="shared" si="2"/>
        <v>2</v>
      </c>
    </row>
    <row r="34" spans="1:13" x14ac:dyDescent="0.25">
      <c r="A34" s="1" t="s">
        <v>23</v>
      </c>
      <c r="B34" s="1" t="s">
        <v>18</v>
      </c>
      <c r="C34" s="1" t="s">
        <v>11</v>
      </c>
      <c r="D34" s="1">
        <v>5</v>
      </c>
      <c r="H34" t="str">
        <f>A34&amp;"|"&amp;COUNTIF($A$2:A34,A34)</f>
        <v>ODJEĆA U BOJI|1</v>
      </c>
      <c r="J34" t="str">
        <f>A34&amp;"|"&amp;COUNTIF($A$2:A34,A34)</f>
        <v>ODJEĆA U BOJI|1</v>
      </c>
      <c r="K34" t="str">
        <f t="shared" ref="K34:K54" si="3">B34</f>
        <v>PREDPRANJE</v>
      </c>
      <c r="L34" t="str">
        <f t="shared" ref="L34:L54" si="4">C34</f>
        <v>BASIC</v>
      </c>
      <c r="M34">
        <f t="shared" ref="M34:M54" si="5">D34</f>
        <v>5</v>
      </c>
    </row>
    <row r="35" spans="1:13" x14ac:dyDescent="0.25">
      <c r="A35" s="1" t="s">
        <v>23</v>
      </c>
      <c r="B35" s="1" t="s">
        <v>18</v>
      </c>
      <c r="C35" s="1" t="s">
        <v>13</v>
      </c>
      <c r="D35" s="1">
        <v>2</v>
      </c>
      <c r="H35" t="str">
        <f>A35&amp;"|"&amp;COUNTIF($A$2:A35,A35)</f>
        <v>ODJEĆA U BOJI|2</v>
      </c>
      <c r="J35" t="str">
        <f>A35&amp;"|"&amp;COUNTIF($A$2:A35,A35)</f>
        <v>ODJEĆA U BOJI|2</v>
      </c>
      <c r="K35" t="str">
        <f t="shared" si="3"/>
        <v>PREDPRANJE</v>
      </c>
      <c r="L35" t="str">
        <f t="shared" si="4"/>
        <v>SURF</v>
      </c>
      <c r="M35">
        <f t="shared" si="5"/>
        <v>2</v>
      </c>
    </row>
    <row r="36" spans="1:13" x14ac:dyDescent="0.25">
      <c r="A36" s="1" t="s">
        <v>23</v>
      </c>
      <c r="B36" s="1" t="s">
        <v>18</v>
      </c>
      <c r="C36" s="1" t="s">
        <v>19</v>
      </c>
      <c r="D36" s="1">
        <v>0</v>
      </c>
      <c r="H36" t="str">
        <f>A36&amp;"|"&amp;COUNTIF($A$2:A36,A36)</f>
        <v>ODJEĆA U BOJI|3</v>
      </c>
      <c r="J36" t="str">
        <f>A36&amp;"|"&amp;COUNTIF($A$2:A36,A36)</f>
        <v>ODJEĆA U BOJI|3</v>
      </c>
      <c r="K36" t="str">
        <f t="shared" si="3"/>
        <v>PREDPRANJE</v>
      </c>
      <c r="L36" t="str">
        <f t="shared" si="4"/>
        <v>CHLOR</v>
      </c>
      <c r="M36">
        <f t="shared" si="5"/>
        <v>0</v>
      </c>
    </row>
    <row r="37" spans="1:13" x14ac:dyDescent="0.25">
      <c r="A37" s="1" t="s">
        <v>23</v>
      </c>
      <c r="B37" s="1" t="s">
        <v>10</v>
      </c>
      <c r="C37" s="1" t="s">
        <v>11</v>
      </c>
      <c r="D37" s="1">
        <v>6.5</v>
      </c>
      <c r="H37" t="str">
        <f>A37&amp;"|"&amp;COUNTIF($A$2:A37,A37)</f>
        <v>ODJEĆA U BOJI|4</v>
      </c>
      <c r="J37" t="str">
        <f>A37&amp;"|"&amp;COUNTIF($A$2:A37,A37)</f>
        <v>ODJEĆA U BOJI|4</v>
      </c>
      <c r="K37" t="str">
        <f t="shared" si="3"/>
        <v>GLAVNO PRANJE</v>
      </c>
      <c r="L37" t="str">
        <f t="shared" si="4"/>
        <v>BASIC</v>
      </c>
      <c r="M37">
        <f t="shared" si="5"/>
        <v>6.5</v>
      </c>
    </row>
    <row r="38" spans="1:13" x14ac:dyDescent="0.25">
      <c r="A38" s="1" t="s">
        <v>23</v>
      </c>
      <c r="B38" s="1" t="s">
        <v>10</v>
      </c>
      <c r="C38" s="1" t="s">
        <v>13</v>
      </c>
      <c r="D38" s="1">
        <v>3</v>
      </c>
      <c r="H38" t="str">
        <f>A38&amp;"|"&amp;COUNTIF($A$2:A38,A38)</f>
        <v>ODJEĆA U BOJI|5</v>
      </c>
      <c r="J38" t="str">
        <f>A38&amp;"|"&amp;COUNTIF($A$2:A38,A38)</f>
        <v>ODJEĆA U BOJI|5</v>
      </c>
      <c r="K38" t="str">
        <f t="shared" si="3"/>
        <v>GLAVNO PRANJE</v>
      </c>
      <c r="L38" t="str">
        <f t="shared" si="4"/>
        <v>SURF</v>
      </c>
      <c r="M38">
        <f t="shared" si="5"/>
        <v>3</v>
      </c>
    </row>
    <row r="39" spans="1:13" x14ac:dyDescent="0.25">
      <c r="A39" s="1" t="s">
        <v>23</v>
      </c>
      <c r="B39" s="1" t="s">
        <v>10</v>
      </c>
      <c r="C39" s="1" t="s">
        <v>14</v>
      </c>
      <c r="D39" s="1">
        <v>6</v>
      </c>
      <c r="H39" t="str">
        <f>A39&amp;"|"&amp;COUNTIF($A$2:A39,A39)</f>
        <v>ODJEĆA U BOJI|6</v>
      </c>
      <c r="J39" t="str">
        <f>A39&amp;"|"&amp;COUNTIF($A$2:A39,A39)</f>
        <v>ODJEĆA U BOJI|6</v>
      </c>
      <c r="K39" t="str">
        <f t="shared" si="3"/>
        <v>GLAVNO PRANJE</v>
      </c>
      <c r="L39" t="str">
        <f t="shared" si="4"/>
        <v>OXYGEN</v>
      </c>
      <c r="M39">
        <f t="shared" si="5"/>
        <v>6</v>
      </c>
    </row>
    <row r="40" spans="1:13" x14ac:dyDescent="0.25">
      <c r="A40" s="1" t="s">
        <v>23</v>
      </c>
      <c r="B40" s="1" t="s">
        <v>16</v>
      </c>
      <c r="C40" s="1" t="s">
        <v>17</v>
      </c>
      <c r="D40" s="1">
        <v>5</v>
      </c>
      <c r="H40" t="str">
        <f>A40&amp;"|"&amp;COUNTIF($A$2:A40,A40)</f>
        <v>ODJEĆA U BOJI|7</v>
      </c>
      <c r="J40" t="str">
        <f>A40&amp;"|"&amp;COUNTIF($A$2:A40,A40)</f>
        <v>ODJEĆA U BOJI|7</v>
      </c>
      <c r="K40" t="str">
        <f t="shared" si="3"/>
        <v>ISPIRANJE</v>
      </c>
      <c r="L40" t="str">
        <f t="shared" si="4"/>
        <v>SOFT</v>
      </c>
      <c r="M40">
        <f t="shared" si="5"/>
        <v>5</v>
      </c>
    </row>
    <row r="41" spans="1:13" x14ac:dyDescent="0.25">
      <c r="A41" s="1" t="s">
        <v>24</v>
      </c>
      <c r="B41" s="1" t="s">
        <v>18</v>
      </c>
      <c r="C41" s="1" t="s">
        <v>11</v>
      </c>
      <c r="D41" s="1">
        <v>0</v>
      </c>
      <c r="H41" t="str">
        <f>A41&amp;"|"&amp;COUNTIF($A$2:A41,A41)</f>
        <v>ZAVJESE|1</v>
      </c>
      <c r="J41" t="str">
        <f>A41&amp;"|"&amp;COUNTIF($A$2:A41,A41)</f>
        <v>ZAVJESE|1</v>
      </c>
      <c r="K41" t="str">
        <f t="shared" si="3"/>
        <v>PREDPRANJE</v>
      </c>
      <c r="L41" t="str">
        <f t="shared" si="4"/>
        <v>BASIC</v>
      </c>
      <c r="M41">
        <f t="shared" si="5"/>
        <v>0</v>
      </c>
    </row>
    <row r="42" spans="1:13" x14ac:dyDescent="0.25">
      <c r="A42" s="1" t="s">
        <v>24</v>
      </c>
      <c r="B42" s="1" t="s">
        <v>18</v>
      </c>
      <c r="C42" s="1" t="s">
        <v>13</v>
      </c>
      <c r="D42" s="1">
        <v>2</v>
      </c>
      <c r="H42" t="str">
        <f>A42&amp;"|"&amp;COUNTIF($A$2:A42,A42)</f>
        <v>ZAVJESE|2</v>
      </c>
      <c r="J42" t="str">
        <f>A42&amp;"|"&amp;COUNTIF($A$2:A42,A42)</f>
        <v>ZAVJESE|2</v>
      </c>
      <c r="K42" t="str">
        <f t="shared" si="3"/>
        <v>PREDPRANJE</v>
      </c>
      <c r="L42" t="str">
        <f t="shared" si="4"/>
        <v>SURF</v>
      </c>
      <c r="M42">
        <f t="shared" si="5"/>
        <v>2</v>
      </c>
    </row>
    <row r="43" spans="1:13" x14ac:dyDescent="0.25">
      <c r="A43" s="1" t="s">
        <v>24</v>
      </c>
      <c r="B43" s="1" t="s">
        <v>18</v>
      </c>
      <c r="C43" s="1" t="s">
        <v>19</v>
      </c>
      <c r="D43" s="1">
        <v>0</v>
      </c>
      <c r="H43" t="str">
        <f>A43&amp;"|"&amp;COUNTIF($A$2:A43,A43)</f>
        <v>ZAVJESE|3</v>
      </c>
      <c r="J43" t="str">
        <f>A43&amp;"|"&amp;COUNTIF($A$2:A43,A43)</f>
        <v>ZAVJESE|3</v>
      </c>
      <c r="K43" t="str">
        <f t="shared" si="3"/>
        <v>PREDPRANJE</v>
      </c>
      <c r="L43" t="str">
        <f t="shared" si="4"/>
        <v>CHLOR</v>
      </c>
      <c r="M43">
        <f t="shared" si="5"/>
        <v>0</v>
      </c>
    </row>
    <row r="44" spans="1:13" x14ac:dyDescent="0.25">
      <c r="A44" s="1" t="s">
        <v>24</v>
      </c>
      <c r="B44" s="1" t="s">
        <v>10</v>
      </c>
      <c r="C44" s="1" t="s">
        <v>11</v>
      </c>
      <c r="D44" s="1">
        <v>3</v>
      </c>
      <c r="H44" t="str">
        <f>A44&amp;"|"&amp;COUNTIF($A$2:A44,A44)</f>
        <v>ZAVJESE|4</v>
      </c>
      <c r="J44" t="str">
        <f>A44&amp;"|"&amp;COUNTIF($A$2:A44,A44)</f>
        <v>ZAVJESE|4</v>
      </c>
      <c r="K44" t="str">
        <f t="shared" si="3"/>
        <v>GLAVNO PRANJE</v>
      </c>
      <c r="L44" t="str">
        <f t="shared" si="4"/>
        <v>BASIC</v>
      </c>
      <c r="M44">
        <f t="shared" si="5"/>
        <v>3</v>
      </c>
    </row>
    <row r="45" spans="1:13" x14ac:dyDescent="0.25">
      <c r="A45" s="1" t="s">
        <v>24</v>
      </c>
      <c r="B45" s="1" t="s">
        <v>10</v>
      </c>
      <c r="C45" s="1" t="s">
        <v>13</v>
      </c>
      <c r="D45" s="1">
        <v>2</v>
      </c>
      <c r="H45" t="str">
        <f>A45&amp;"|"&amp;COUNTIF($A$2:A45,A45)</f>
        <v>ZAVJESE|5</v>
      </c>
      <c r="J45" t="str">
        <f>A45&amp;"|"&amp;COUNTIF($A$2:A45,A45)</f>
        <v>ZAVJESE|5</v>
      </c>
      <c r="K45" t="str">
        <f t="shared" si="3"/>
        <v>GLAVNO PRANJE</v>
      </c>
      <c r="L45" t="str">
        <f t="shared" si="4"/>
        <v>SURF</v>
      </c>
      <c r="M45">
        <f t="shared" si="5"/>
        <v>2</v>
      </c>
    </row>
    <row r="46" spans="1:13" x14ac:dyDescent="0.25">
      <c r="A46" s="1" t="s">
        <v>24</v>
      </c>
      <c r="B46" s="1" t="s">
        <v>10</v>
      </c>
      <c r="C46" s="1" t="s">
        <v>14</v>
      </c>
      <c r="D46" s="1">
        <v>4</v>
      </c>
      <c r="H46" t="str">
        <f>A46&amp;"|"&amp;COUNTIF($A$2:A46,A46)</f>
        <v>ZAVJESE|6</v>
      </c>
      <c r="J46" t="str">
        <f>A46&amp;"|"&amp;COUNTIF($A$2:A46,A46)</f>
        <v>ZAVJESE|6</v>
      </c>
      <c r="K46" t="str">
        <f t="shared" si="3"/>
        <v>GLAVNO PRANJE</v>
      </c>
      <c r="L46" t="str">
        <f t="shared" si="4"/>
        <v>OXYGEN</v>
      </c>
      <c r="M46">
        <f t="shared" si="5"/>
        <v>4</v>
      </c>
    </row>
    <row r="47" spans="1:13" x14ac:dyDescent="0.25">
      <c r="A47" s="1" t="s">
        <v>24</v>
      </c>
      <c r="B47" s="1" t="s">
        <v>16</v>
      </c>
      <c r="C47" s="1" t="s">
        <v>17</v>
      </c>
      <c r="D47" s="1">
        <v>5</v>
      </c>
      <c r="H47" t="str">
        <f>A47&amp;"|"&amp;COUNTIF($A$2:A47,A47)</f>
        <v>ZAVJESE|7</v>
      </c>
      <c r="J47" t="str">
        <f>A47&amp;"|"&amp;COUNTIF($A$2:A47,A47)</f>
        <v>ZAVJESE|7</v>
      </c>
      <c r="K47" t="str">
        <f t="shared" si="3"/>
        <v>ISPIRANJE</v>
      </c>
      <c r="L47" t="str">
        <f t="shared" si="4"/>
        <v>SOFT</v>
      </c>
      <c r="M47">
        <f t="shared" si="5"/>
        <v>5</v>
      </c>
    </row>
    <row r="48" spans="1:13" x14ac:dyDescent="0.25">
      <c r="A48" s="1" t="s">
        <v>25</v>
      </c>
      <c r="B48" s="1" t="s">
        <v>18</v>
      </c>
      <c r="C48" s="1" t="s">
        <v>11</v>
      </c>
      <c r="D48" s="1">
        <v>0</v>
      </c>
      <c r="H48" t="str">
        <f>A48&amp;"|"&amp;COUNTIF($A$2:A48,A48)</f>
        <v>OSJETLJIVO|1</v>
      </c>
      <c r="J48" t="str">
        <f>A48&amp;"|"&amp;COUNTIF($A$2:A48,A48)</f>
        <v>OSJETLJIVO|1</v>
      </c>
      <c r="K48" t="str">
        <f t="shared" si="3"/>
        <v>PREDPRANJE</v>
      </c>
      <c r="L48" t="str">
        <f t="shared" si="4"/>
        <v>BASIC</v>
      </c>
      <c r="M48">
        <f t="shared" si="5"/>
        <v>0</v>
      </c>
    </row>
    <row r="49" spans="1:13" x14ac:dyDescent="0.25">
      <c r="A49" s="1" t="s">
        <v>25</v>
      </c>
      <c r="B49" s="1" t="s">
        <v>18</v>
      </c>
      <c r="C49" s="1" t="s">
        <v>13</v>
      </c>
      <c r="D49" s="1">
        <v>2</v>
      </c>
      <c r="H49" t="str">
        <f>A49&amp;"|"&amp;COUNTIF($A$2:A49,A49)</f>
        <v>OSJETLJIVO|2</v>
      </c>
      <c r="J49" t="str">
        <f>A49&amp;"|"&amp;COUNTIF($A$2:A49,A49)</f>
        <v>OSJETLJIVO|2</v>
      </c>
      <c r="K49" t="str">
        <f t="shared" si="3"/>
        <v>PREDPRANJE</v>
      </c>
      <c r="L49" t="str">
        <f t="shared" si="4"/>
        <v>SURF</v>
      </c>
      <c r="M49">
        <f t="shared" si="5"/>
        <v>2</v>
      </c>
    </row>
    <row r="50" spans="1:13" x14ac:dyDescent="0.25">
      <c r="A50" s="1" t="s">
        <v>25</v>
      </c>
      <c r="B50" s="1" t="s">
        <v>18</v>
      </c>
      <c r="C50" s="1" t="s">
        <v>19</v>
      </c>
      <c r="D50" s="1">
        <v>0</v>
      </c>
      <c r="H50" t="str">
        <f>A50&amp;"|"&amp;COUNTIF($A$2:A50,A50)</f>
        <v>OSJETLJIVO|3</v>
      </c>
      <c r="J50" t="str">
        <f>A50&amp;"|"&amp;COUNTIF($A$2:A50,A50)</f>
        <v>OSJETLJIVO|3</v>
      </c>
      <c r="K50" t="str">
        <f t="shared" si="3"/>
        <v>PREDPRANJE</v>
      </c>
      <c r="L50" t="str">
        <f t="shared" si="4"/>
        <v>CHLOR</v>
      </c>
      <c r="M50">
        <f t="shared" si="5"/>
        <v>0</v>
      </c>
    </row>
    <row r="51" spans="1:13" x14ac:dyDescent="0.25">
      <c r="A51" s="1" t="s">
        <v>25</v>
      </c>
      <c r="B51" s="1" t="s">
        <v>10</v>
      </c>
      <c r="C51" s="1" t="s">
        <v>11</v>
      </c>
      <c r="D51" s="1">
        <v>3</v>
      </c>
      <c r="H51" t="str">
        <f>A51&amp;"|"&amp;COUNTIF($A$2:A51,A51)</f>
        <v>OSJETLJIVO|4</v>
      </c>
      <c r="J51" t="str">
        <f>A51&amp;"|"&amp;COUNTIF($A$2:A51,A51)</f>
        <v>OSJETLJIVO|4</v>
      </c>
      <c r="K51" t="str">
        <f t="shared" si="3"/>
        <v>GLAVNO PRANJE</v>
      </c>
      <c r="L51" t="str">
        <f t="shared" si="4"/>
        <v>BASIC</v>
      </c>
      <c r="M51">
        <f t="shared" si="5"/>
        <v>3</v>
      </c>
    </row>
    <row r="52" spans="1:13" x14ac:dyDescent="0.25">
      <c r="A52" s="1" t="s">
        <v>25</v>
      </c>
      <c r="B52" s="1" t="s">
        <v>10</v>
      </c>
      <c r="C52" s="1" t="s">
        <v>13</v>
      </c>
      <c r="D52" s="1">
        <v>3</v>
      </c>
      <c r="H52" t="str">
        <f>A52&amp;"|"&amp;COUNTIF($A$2:A52,A52)</f>
        <v>OSJETLJIVO|5</v>
      </c>
      <c r="J52" t="str">
        <f>A52&amp;"|"&amp;COUNTIF($A$2:A52,A52)</f>
        <v>OSJETLJIVO|5</v>
      </c>
      <c r="K52" t="str">
        <f t="shared" si="3"/>
        <v>GLAVNO PRANJE</v>
      </c>
      <c r="L52" t="str">
        <f t="shared" si="4"/>
        <v>SURF</v>
      </c>
      <c r="M52">
        <f t="shared" si="5"/>
        <v>3</v>
      </c>
    </row>
    <row r="53" spans="1:13" x14ac:dyDescent="0.25">
      <c r="A53" s="1" t="s">
        <v>25</v>
      </c>
      <c r="B53" s="1" t="s">
        <v>10</v>
      </c>
      <c r="C53" s="1" t="s">
        <v>14</v>
      </c>
      <c r="D53" s="1">
        <v>3</v>
      </c>
      <c r="H53" t="str">
        <f>A53&amp;"|"&amp;COUNTIF($A$2:A53,A53)</f>
        <v>OSJETLJIVO|6</v>
      </c>
      <c r="J53" t="str">
        <f>A53&amp;"|"&amp;COUNTIF($A$2:A53,A53)</f>
        <v>OSJETLJIVO|6</v>
      </c>
      <c r="K53" t="str">
        <f t="shared" si="3"/>
        <v>GLAVNO PRANJE</v>
      </c>
      <c r="L53" t="str">
        <f t="shared" si="4"/>
        <v>OXYGEN</v>
      </c>
      <c r="M53">
        <f t="shared" si="5"/>
        <v>3</v>
      </c>
    </row>
    <row r="54" spans="1:13" x14ac:dyDescent="0.25">
      <c r="A54" s="1" t="s">
        <v>25</v>
      </c>
      <c r="B54" s="1" t="s">
        <v>16</v>
      </c>
      <c r="C54" s="1" t="s">
        <v>17</v>
      </c>
      <c r="D54" s="1">
        <v>5</v>
      </c>
      <c r="H54" t="str">
        <f>A54&amp;"|"&amp;COUNTIF($A$2:A54,A54)</f>
        <v>OSJETLJIVO|7</v>
      </c>
      <c r="J54" t="str">
        <f>A54&amp;"|"&amp;COUNTIF($A$2:A54,A54)</f>
        <v>OSJETLJIVO|7</v>
      </c>
      <c r="K54" t="str">
        <f t="shared" si="3"/>
        <v>ISPIRANJE</v>
      </c>
      <c r="L54" t="str">
        <f t="shared" si="4"/>
        <v>SOFT</v>
      </c>
      <c r="M54">
        <f t="shared" si="5"/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selection activeCell="D17" sqref="D17"/>
    </sheetView>
  </sheetViews>
  <sheetFormatPr defaultRowHeight="15" x14ac:dyDescent="0.25"/>
  <cols>
    <col min="1" max="1" width="11.140625" style="1" customWidth="1"/>
    <col min="2" max="2" width="13.42578125" style="1" customWidth="1"/>
    <col min="3" max="3" width="8.42578125" style="1" customWidth="1"/>
    <col min="4" max="4" width="17.42578125" style="1" customWidth="1"/>
    <col min="5" max="5" width="9.5703125" style="1" customWidth="1"/>
    <col min="6" max="6" width="16.42578125" customWidth="1"/>
    <col min="7" max="7" width="29.85546875" customWidth="1"/>
  </cols>
  <sheetData>
    <row r="1" spans="1:7" x14ac:dyDescent="0.25">
      <c r="A1" s="8" t="s">
        <v>5</v>
      </c>
      <c r="B1" s="8" t="s">
        <v>26</v>
      </c>
      <c r="C1" s="8" t="s">
        <v>27</v>
      </c>
      <c r="D1" s="8" t="s">
        <v>28</v>
      </c>
      <c r="E1" s="8" t="s">
        <v>29</v>
      </c>
      <c r="F1" s="8" t="s">
        <v>35</v>
      </c>
      <c r="G1" s="8" t="s">
        <v>36</v>
      </c>
    </row>
    <row r="2" spans="1:7" x14ac:dyDescent="0.25">
      <c r="A2" s="1" t="s">
        <v>11</v>
      </c>
      <c r="B2" s="1">
        <v>18.2</v>
      </c>
      <c r="C2" s="10">
        <v>100</v>
      </c>
      <c r="D2" s="6">
        <f t="shared" ref="D2:D6" si="0">C2/(B2*1000)</f>
        <v>5.4945054945054949E-3</v>
      </c>
      <c r="E2" s="9">
        <f>KALKULATOR!$C$7</f>
        <v>0</v>
      </c>
      <c r="F2" s="11">
        <f>C2*(1-E2/100)</f>
        <v>100</v>
      </c>
      <c r="G2" s="12">
        <f>F2/(B2*1000)</f>
        <v>5.4945054945054949E-3</v>
      </c>
    </row>
    <row r="3" spans="1:7" x14ac:dyDescent="0.25">
      <c r="A3" s="1" t="s">
        <v>13</v>
      </c>
      <c r="B3" s="1">
        <v>15.5</v>
      </c>
      <c r="C3" s="10">
        <v>100</v>
      </c>
      <c r="D3" s="6">
        <f t="shared" si="0"/>
        <v>6.4516129032258064E-3</v>
      </c>
      <c r="E3" s="9">
        <f>KALKULATOR!$C$7</f>
        <v>0</v>
      </c>
      <c r="F3" s="11">
        <f>C3*(1-E3/100)</f>
        <v>100</v>
      </c>
      <c r="G3" s="12">
        <f>F3/(B3*1000)</f>
        <v>6.4516129032258064E-3</v>
      </c>
    </row>
    <row r="4" spans="1:7" x14ac:dyDescent="0.25">
      <c r="A4" s="1" t="s">
        <v>19</v>
      </c>
      <c r="B4" s="1">
        <v>19</v>
      </c>
      <c r="C4" s="10">
        <v>100</v>
      </c>
      <c r="D4" s="6">
        <f t="shared" si="0"/>
        <v>5.263157894736842E-3</v>
      </c>
      <c r="E4" s="9">
        <f>KALKULATOR!$C$7</f>
        <v>0</v>
      </c>
      <c r="F4" s="11">
        <f>C4*(1-E4/100)</f>
        <v>100</v>
      </c>
      <c r="G4" s="12">
        <f>F4/(B4*1000)</f>
        <v>5.263157894736842E-3</v>
      </c>
    </row>
    <row r="5" spans="1:7" x14ac:dyDescent="0.25">
      <c r="A5" s="1" t="s">
        <v>14</v>
      </c>
      <c r="B5" s="1">
        <v>17</v>
      </c>
      <c r="C5" s="10">
        <v>100</v>
      </c>
      <c r="D5" s="6">
        <f t="shared" si="0"/>
        <v>5.8823529411764705E-3</v>
      </c>
      <c r="E5" s="9">
        <f>KALKULATOR!$C$7</f>
        <v>0</v>
      </c>
      <c r="F5" s="11">
        <f>C5*(1-E5/100)</f>
        <v>100</v>
      </c>
      <c r="G5" s="12">
        <f>F5/(B5*1000)</f>
        <v>5.8823529411764705E-3</v>
      </c>
    </row>
    <row r="6" spans="1:7" x14ac:dyDescent="0.25">
      <c r="A6" s="1" t="s">
        <v>17</v>
      </c>
      <c r="B6" s="1">
        <v>15</v>
      </c>
      <c r="C6" s="10">
        <v>100</v>
      </c>
      <c r="D6" s="6">
        <f t="shared" si="0"/>
        <v>6.6666666666666671E-3</v>
      </c>
      <c r="E6" s="9">
        <f>KALKULATOR!$C$7</f>
        <v>0</v>
      </c>
      <c r="F6" s="11">
        <f>C6*(1-E6/100)</f>
        <v>100</v>
      </c>
      <c r="G6" s="12">
        <f>F6/(B6*1000)</f>
        <v>6.6666666666666671E-3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7"/>
  <sheetViews>
    <sheetView workbookViewId="0">
      <selection activeCell="D26" sqref="D26"/>
    </sheetView>
  </sheetViews>
  <sheetFormatPr defaultRowHeight="15" x14ac:dyDescent="0.25"/>
  <cols>
    <col min="1" max="1" width="30" customWidth="1"/>
    <col min="2" max="3" width="16" customWidth="1"/>
    <col min="4" max="9" width="14" customWidth="1"/>
    <col min="11" max="15" width="18" customWidth="1"/>
  </cols>
  <sheetData>
    <row r="1" spans="1:15" ht="27.95" customHeight="1" x14ac:dyDescent="0.25">
      <c r="A1" s="18" t="s">
        <v>37</v>
      </c>
      <c r="B1" s="18"/>
      <c r="C1" s="18"/>
      <c r="D1" s="18"/>
      <c r="E1" s="18"/>
      <c r="F1" s="18"/>
      <c r="G1" s="18"/>
      <c r="H1" s="18"/>
      <c r="I1" s="18"/>
    </row>
    <row r="3" spans="1:15" x14ac:dyDescent="0.25">
      <c r="A3" s="15" t="s">
        <v>2</v>
      </c>
      <c r="B3" s="15" t="s">
        <v>38</v>
      </c>
      <c r="C3" s="15" t="s">
        <v>39</v>
      </c>
      <c r="D3" s="15" t="s">
        <v>40</v>
      </c>
      <c r="E3" s="15" t="s">
        <v>41</v>
      </c>
      <c r="F3" s="15" t="s">
        <v>42</v>
      </c>
      <c r="G3" s="15" t="s">
        <v>43</v>
      </c>
      <c r="H3" s="15" t="s">
        <v>44</v>
      </c>
      <c r="I3" s="15" t="s">
        <v>45</v>
      </c>
      <c r="K3" s="16" t="s">
        <v>5</v>
      </c>
      <c r="L3" s="16" t="s">
        <v>45</v>
      </c>
      <c r="M3" s="16" t="s">
        <v>46</v>
      </c>
      <c r="N3" s="16" t="s">
        <v>47</v>
      </c>
      <c r="O3" s="16" t="s">
        <v>48</v>
      </c>
    </row>
    <row r="4" spans="1:15" x14ac:dyDescent="0.25">
      <c r="A4" s="44" t="s">
        <v>9</v>
      </c>
      <c r="B4" s="45">
        <v>18</v>
      </c>
      <c r="C4" s="46">
        <v>20</v>
      </c>
      <c r="D4" s="47">
        <f>SUMIFS(PROGRAM!$D$2:$D$54,PROGRAM!$A$2:$A$54,$A4,PROGRAM!$C$2:$C$54,"BASIC")*$B4*$C4/1000</f>
        <v>1.8</v>
      </c>
      <c r="E4" s="47">
        <f>SUMIFS(PROGRAM!$D$2:$D$54,PROGRAM!$A$2:$A$54,$A4,PROGRAM!$C$2:$C$54,"SURF")*$B4*$C4/1000</f>
        <v>1.26</v>
      </c>
      <c r="F4" s="47">
        <f>SUMIFS(PROGRAM!$D$2:$D$54,PROGRAM!$A$2:$A$54,$A4,PROGRAM!$C$2:$C$54,"CHLOR")*$B4*$C4/1000</f>
        <v>0</v>
      </c>
      <c r="G4" s="47">
        <f>SUMIFS(PROGRAM!$D$2:$D$54,PROGRAM!$A$2:$A$54,$A4,PROGRAM!$C$2:$C$54,"OXYGEN")*$B4*$C4/1000</f>
        <v>2.52</v>
      </c>
      <c r="H4" s="47">
        <f>SUMIFS(PROGRAM!$D$2:$D$54,PROGRAM!$A$2:$A$54,$A4,PROGRAM!$C$2:$C$54,"SOFT")*$B4*$C4/1000</f>
        <v>1.98</v>
      </c>
      <c r="I4" s="47">
        <f t="shared" ref="I4:I12" si="0">SUM(D4:H4)</f>
        <v>7.5600000000000005</v>
      </c>
      <c r="K4" s="44" t="s">
        <v>11</v>
      </c>
      <c r="L4" s="47">
        <f>SUM(D$4:D$12)</f>
        <v>1.8</v>
      </c>
      <c r="M4" s="47">
        <f>SUMIF(PROIZVODI!$A$2:$A$6,K4,PROIZVODI!$B$2:$B$6)</f>
        <v>18.2</v>
      </c>
      <c r="N4" s="47">
        <f>IFERROR(L4/M4,0)</f>
        <v>9.8901098901098911E-2</v>
      </c>
      <c r="O4" s="48">
        <f>IF(L4=0,0,ROUNDUP(N4,0))</f>
        <v>1</v>
      </c>
    </row>
    <row r="5" spans="1:15" x14ac:dyDescent="0.25">
      <c r="A5" s="44" t="s">
        <v>3</v>
      </c>
      <c r="B5" s="45">
        <v>33</v>
      </c>
      <c r="C5" s="46">
        <v>0</v>
      </c>
      <c r="D5" s="47">
        <f>SUMIFS(PROGRAM!$D$2:$D$54,PROGRAM!$A$2:$A$54,$A5,PROGRAM!$C$2:$C$54,"BASIC")*$B5*$C5/1000</f>
        <v>0</v>
      </c>
      <c r="E5" s="47">
        <f>SUMIFS(PROGRAM!$D$2:$D$54,PROGRAM!$A$2:$A$54,$A5,PROGRAM!$C$2:$C$54,"SURF")*$B5*$C5/1000</f>
        <v>0</v>
      </c>
      <c r="F5" s="47">
        <f>SUMIFS(PROGRAM!$D$2:$D$54,PROGRAM!$A$2:$A$54,$A5,PROGRAM!$C$2:$C$54,"CHLOR")*$B5*$C5/1000</f>
        <v>0</v>
      </c>
      <c r="G5" s="47">
        <f>SUMIFS(PROGRAM!$D$2:$D$54,PROGRAM!$A$2:$A$54,$A5,PROGRAM!$C$2:$C$54,"OXYGEN")*$B5*$C5/1000</f>
        <v>0</v>
      </c>
      <c r="H5" s="47">
        <f>SUMIFS(PROGRAM!$D$2:$D$54,PROGRAM!$A$2:$A$54,$A5,PROGRAM!$C$2:$C$54,"SOFT")*$B5*$C5/1000</f>
        <v>0</v>
      </c>
      <c r="I5" s="47">
        <f t="shared" si="0"/>
        <v>0</v>
      </c>
      <c r="K5" s="44" t="s">
        <v>13</v>
      </c>
      <c r="L5" s="47">
        <f>SUM(E$4:E$12)</f>
        <v>1.26</v>
      </c>
      <c r="M5" s="47">
        <f>SUMIF(PROIZVODI!$A$2:$A$6,K5,PROIZVODI!$B$2:$B$6)</f>
        <v>15.5</v>
      </c>
      <c r="N5" s="47">
        <f>IFERROR(L5/M5,0)</f>
        <v>8.1290322580645155E-2</v>
      </c>
      <c r="O5" s="48">
        <f>IF(L5=0,0,ROUNDUP(N5,0))</f>
        <v>1</v>
      </c>
    </row>
    <row r="6" spans="1:15" x14ac:dyDescent="0.25">
      <c r="A6" s="44" t="s">
        <v>20</v>
      </c>
      <c r="B6" s="45">
        <v>33</v>
      </c>
      <c r="C6" s="46">
        <v>0</v>
      </c>
      <c r="D6" s="47">
        <f>SUMIFS(PROGRAM!$D$2:$D$54,PROGRAM!$A$2:$A$54,$A6,PROGRAM!$C$2:$C$54,"BASIC")*$B6*$C6/1000</f>
        <v>0</v>
      </c>
      <c r="E6" s="47">
        <f>SUMIFS(PROGRAM!$D$2:$D$54,PROGRAM!$A$2:$A$54,$A6,PROGRAM!$C$2:$C$54,"SURF")*$B6*$C6/1000</f>
        <v>0</v>
      </c>
      <c r="F6" s="47">
        <f>SUMIFS(PROGRAM!$D$2:$D$54,PROGRAM!$A$2:$A$54,$A6,PROGRAM!$C$2:$C$54,"CHLOR")*$B6*$C6/1000</f>
        <v>0</v>
      </c>
      <c r="G6" s="47">
        <f>SUMIFS(PROGRAM!$D$2:$D$54,PROGRAM!$A$2:$A$54,$A6,PROGRAM!$C$2:$C$54,"OXYGEN")*$B6*$C6/1000</f>
        <v>0</v>
      </c>
      <c r="H6" s="47">
        <f>SUMIFS(PROGRAM!$D$2:$D$54,PROGRAM!$A$2:$A$54,$A6,PROGRAM!$C$2:$C$54,"SOFT")*$B6*$C6/1000</f>
        <v>0</v>
      </c>
      <c r="I6" s="47">
        <f t="shared" si="0"/>
        <v>0</v>
      </c>
      <c r="K6" s="44" t="s">
        <v>19</v>
      </c>
      <c r="L6" s="47">
        <f>SUM(F$4:F$12)</f>
        <v>0</v>
      </c>
      <c r="M6" s="47">
        <f>SUMIF(PROIZVODI!$A$2:$A$6,K6,PROIZVODI!$B$2:$B$6)</f>
        <v>19</v>
      </c>
      <c r="N6" s="47">
        <f>IFERROR(L6/M6,0)</f>
        <v>0</v>
      </c>
      <c r="O6" s="48">
        <f>IF(L6=0,0,ROUNDUP(N6,0))</f>
        <v>0</v>
      </c>
    </row>
    <row r="7" spans="1:15" x14ac:dyDescent="0.25">
      <c r="A7" s="44" t="s">
        <v>21</v>
      </c>
      <c r="B7" s="45">
        <v>33</v>
      </c>
      <c r="C7" s="46">
        <v>0</v>
      </c>
      <c r="D7" s="47">
        <f>SUMIFS(PROGRAM!$D$2:$D$54,PROGRAM!$A$2:$A$54,$A7,PROGRAM!$C$2:$C$54,"BASIC")*$B7*$C7/1000</f>
        <v>0</v>
      </c>
      <c r="E7" s="47">
        <f>SUMIFS(PROGRAM!$D$2:$D$54,PROGRAM!$A$2:$A$54,$A7,PROGRAM!$C$2:$C$54,"SURF")*$B7*$C7/1000</f>
        <v>0</v>
      </c>
      <c r="F7" s="47">
        <f>SUMIFS(PROGRAM!$D$2:$D$54,PROGRAM!$A$2:$A$54,$A7,PROGRAM!$C$2:$C$54,"CHLOR")*$B7*$C7/1000</f>
        <v>0</v>
      </c>
      <c r="G7" s="47">
        <f>SUMIFS(PROGRAM!$D$2:$D$54,PROGRAM!$A$2:$A$54,$A7,PROGRAM!$C$2:$C$54,"OXYGEN")*$B7*$C7/1000</f>
        <v>0</v>
      </c>
      <c r="H7" s="47">
        <f>SUMIFS(PROGRAM!$D$2:$D$54,PROGRAM!$A$2:$A$54,$A7,PROGRAM!$C$2:$C$54,"SOFT")*$B7*$C7/1000</f>
        <v>0</v>
      </c>
      <c r="I7" s="47">
        <f t="shared" si="0"/>
        <v>0</v>
      </c>
      <c r="K7" s="44" t="s">
        <v>14</v>
      </c>
      <c r="L7" s="47">
        <f>SUM(G$4:G$12)</f>
        <v>2.52</v>
      </c>
      <c r="M7" s="47">
        <f>SUMIF(PROIZVODI!$A$2:$A$6,K7,PROIZVODI!$B$2:$B$6)</f>
        <v>17</v>
      </c>
      <c r="N7" s="47">
        <f>IFERROR(L7/M7,0)</f>
        <v>0.14823529411764705</v>
      </c>
      <c r="O7" s="48">
        <f>IF(L7=0,0,ROUNDUP(N7,0))</f>
        <v>1</v>
      </c>
    </row>
    <row r="8" spans="1:15" x14ac:dyDescent="0.25">
      <c r="A8" s="44" t="s">
        <v>22</v>
      </c>
      <c r="B8" s="45">
        <v>33</v>
      </c>
      <c r="C8" s="46">
        <v>0</v>
      </c>
      <c r="D8" s="47">
        <f>SUMIFS(PROGRAM!$D$2:$D$54,PROGRAM!$A$2:$A$54,$A8,PROGRAM!$C$2:$C$54,"BASIC")*$B8*$C8/1000</f>
        <v>0</v>
      </c>
      <c r="E8" s="47">
        <f>SUMIFS(PROGRAM!$D$2:$D$54,PROGRAM!$A$2:$A$54,$A8,PROGRAM!$C$2:$C$54,"SURF")*$B8*$C8/1000</f>
        <v>0</v>
      </c>
      <c r="F8" s="47">
        <f>SUMIFS(PROGRAM!$D$2:$D$54,PROGRAM!$A$2:$A$54,$A8,PROGRAM!$C$2:$C$54,"CHLOR")*$B8*$C8/1000</f>
        <v>0</v>
      </c>
      <c r="G8" s="47">
        <f>SUMIFS(PROGRAM!$D$2:$D$54,PROGRAM!$A$2:$A$54,$A8,PROGRAM!$C$2:$C$54,"OXYGEN")*$B8*$C8/1000</f>
        <v>0</v>
      </c>
      <c r="H8" s="47">
        <f>SUMIFS(PROGRAM!$D$2:$D$54,PROGRAM!$A$2:$A$54,$A8,PROGRAM!$C$2:$C$54,"SOFT")*$B8*$C8/1000</f>
        <v>0</v>
      </c>
      <c r="I8" s="47">
        <f t="shared" si="0"/>
        <v>0</v>
      </c>
      <c r="K8" s="44" t="s">
        <v>17</v>
      </c>
      <c r="L8" s="47">
        <f>SUM(H$4:H$12)</f>
        <v>1.98</v>
      </c>
      <c r="M8" s="47">
        <f>SUMIF(PROIZVODI!$A$2:$A$6,K8,PROIZVODI!$B$2:$B$6)</f>
        <v>15</v>
      </c>
      <c r="N8" s="47">
        <f>IFERROR(L8/M8,0)</f>
        <v>0.13200000000000001</v>
      </c>
      <c r="O8" s="48">
        <f>IF(L8=0,0,ROUNDUP(N8,0))</f>
        <v>1</v>
      </c>
    </row>
    <row r="9" spans="1:15" x14ac:dyDescent="0.25">
      <c r="A9" s="44" t="s">
        <v>23</v>
      </c>
      <c r="B9" s="45">
        <v>33</v>
      </c>
      <c r="C9" s="46">
        <v>0</v>
      </c>
      <c r="D9" s="47">
        <f>SUMIFS(PROGRAM!$D$2:$D$54,PROGRAM!$A$2:$A$54,$A9,PROGRAM!$C$2:$C$54,"BASIC")*$B9*$C9/1000</f>
        <v>0</v>
      </c>
      <c r="E9" s="47">
        <f>SUMIFS(PROGRAM!$D$2:$D$54,PROGRAM!$A$2:$A$54,$A9,PROGRAM!$C$2:$C$54,"SURF")*$B9*$C9/1000</f>
        <v>0</v>
      </c>
      <c r="F9" s="47">
        <f>SUMIFS(PROGRAM!$D$2:$D$54,PROGRAM!$A$2:$A$54,$A9,PROGRAM!$C$2:$C$54,"CHLOR")*$B9*$C9/1000</f>
        <v>0</v>
      </c>
      <c r="G9" s="47">
        <f>SUMIFS(PROGRAM!$D$2:$D$54,PROGRAM!$A$2:$A$54,$A9,PROGRAM!$C$2:$C$54,"OXYGEN")*$B9*$C9/1000</f>
        <v>0</v>
      </c>
      <c r="H9" s="47">
        <f>SUMIFS(PROGRAM!$D$2:$D$54,PROGRAM!$A$2:$A$54,$A9,PROGRAM!$C$2:$C$54,"SOFT")*$B9*$C9/1000</f>
        <v>0</v>
      </c>
      <c r="I9" s="47">
        <f t="shared" si="0"/>
        <v>0</v>
      </c>
    </row>
    <row r="10" spans="1:15" x14ac:dyDescent="0.25">
      <c r="A10" s="44" t="s">
        <v>24</v>
      </c>
      <c r="B10" s="45">
        <v>33</v>
      </c>
      <c r="C10" s="46">
        <v>0</v>
      </c>
      <c r="D10" s="47">
        <f>SUMIFS(PROGRAM!$D$2:$D$54,PROGRAM!$A$2:$A$54,$A10,PROGRAM!$C$2:$C$54,"BASIC")*$B10*$C10/1000</f>
        <v>0</v>
      </c>
      <c r="E10" s="47">
        <f>SUMIFS(PROGRAM!$D$2:$D$54,PROGRAM!$A$2:$A$54,$A10,PROGRAM!$C$2:$C$54,"SURF")*$B10*$C10/1000</f>
        <v>0</v>
      </c>
      <c r="F10" s="47">
        <f>SUMIFS(PROGRAM!$D$2:$D$54,PROGRAM!$A$2:$A$54,$A10,PROGRAM!$C$2:$C$54,"CHLOR")*$B10*$C10/1000</f>
        <v>0</v>
      </c>
      <c r="G10" s="47">
        <f>SUMIFS(PROGRAM!$D$2:$D$54,PROGRAM!$A$2:$A$54,$A10,PROGRAM!$C$2:$C$54,"OXYGEN")*$B10*$C10/1000</f>
        <v>0</v>
      </c>
      <c r="H10" s="47">
        <f>SUMIFS(PROGRAM!$D$2:$D$54,PROGRAM!$A$2:$A$54,$A10,PROGRAM!$C$2:$C$54,"SOFT")*$B10*$C10/1000</f>
        <v>0</v>
      </c>
      <c r="I10" s="47">
        <f t="shared" si="0"/>
        <v>0</v>
      </c>
      <c r="K10" s="13" t="s">
        <v>49</v>
      </c>
      <c r="L10" s="14">
        <f>SUM(L4:L8)</f>
        <v>7.5600000000000005</v>
      </c>
    </row>
    <row r="11" spans="1:15" x14ac:dyDescent="0.25">
      <c r="A11" s="44" t="s">
        <v>25</v>
      </c>
      <c r="B11" s="45">
        <v>33</v>
      </c>
      <c r="C11" s="46">
        <v>0</v>
      </c>
      <c r="D11" s="47">
        <f>SUMIFS(PROGRAM!$D$2:$D$54,PROGRAM!$A$2:$A$54,$A11,PROGRAM!$C$2:$C$54,"BASIC")*$B11*$C11/1000</f>
        <v>0</v>
      </c>
      <c r="E11" s="47">
        <f>SUMIFS(PROGRAM!$D$2:$D$54,PROGRAM!$A$2:$A$54,$A11,PROGRAM!$C$2:$C$54,"SURF")*$B11*$C11/1000</f>
        <v>0</v>
      </c>
      <c r="F11" s="47">
        <f>SUMIFS(PROGRAM!$D$2:$D$54,PROGRAM!$A$2:$A$54,$A11,PROGRAM!$C$2:$C$54,"CHLOR")*$B11*$C11/1000</f>
        <v>0</v>
      </c>
      <c r="G11" s="47">
        <f>SUMIFS(PROGRAM!$D$2:$D$54,PROGRAM!$A$2:$A$54,$A11,PROGRAM!$C$2:$C$54,"OXYGEN")*$B11*$C11/1000</f>
        <v>0</v>
      </c>
      <c r="H11" s="47">
        <f>SUMIFS(PROGRAM!$D$2:$D$54,PROGRAM!$A$2:$A$54,$A11,PROGRAM!$C$2:$C$54,"SOFT")*$B11*$C11/1000</f>
        <v>0</v>
      </c>
      <c r="I11" s="47">
        <f t="shared" si="0"/>
        <v>0</v>
      </c>
    </row>
    <row r="12" spans="1:15" x14ac:dyDescent="0.25">
      <c r="A12" s="44" t="s">
        <v>34</v>
      </c>
      <c r="B12" s="45">
        <v>33</v>
      </c>
      <c r="C12" s="46">
        <v>0</v>
      </c>
      <c r="D12" s="47">
        <f>SUMIFS(PROGRAM!$D$2:$D$54,PROGRAM!$A$2:$A$54,$A12,PROGRAM!$C$2:$C$54,"BASIC")*$B12*$C12/1000</f>
        <v>0</v>
      </c>
      <c r="E12" s="47">
        <f>SUMIFS(PROGRAM!$D$2:$D$54,PROGRAM!$A$2:$A$54,$A12,PROGRAM!$C$2:$C$54,"SURF")*$B12*$C12/1000</f>
        <v>0</v>
      </c>
      <c r="F12" s="47">
        <f>SUMIFS(PROGRAM!$D$2:$D$54,PROGRAM!$A$2:$A$54,$A12,PROGRAM!$C$2:$C$54,"CHLOR")*$B12*$C12/1000</f>
        <v>0</v>
      </c>
      <c r="G12" s="47">
        <f>SUMIFS(PROGRAM!$D$2:$D$54,PROGRAM!$A$2:$A$54,$A12,PROGRAM!$C$2:$C$54,"OXYGEN")*$B12*$C12/1000</f>
        <v>0</v>
      </c>
      <c r="H12" s="47">
        <f>SUMIFS(PROGRAM!$D$2:$D$54,PROGRAM!$A$2:$A$54,$A12,PROGRAM!$C$2:$C$54,"SOFT")*$B12*$C12/1000</f>
        <v>0</v>
      </c>
      <c r="I12" s="47">
        <f t="shared" si="0"/>
        <v>0</v>
      </c>
    </row>
    <row r="15" spans="1:15" x14ac:dyDescent="0.25">
      <c r="A15" s="19" t="s">
        <v>50</v>
      </c>
      <c r="B15" s="19"/>
      <c r="C15" s="19"/>
      <c r="D15" s="19"/>
      <c r="E15" s="19"/>
      <c r="F15" s="19"/>
      <c r="G15" s="19"/>
      <c r="H15" s="19"/>
      <c r="I15" s="19"/>
    </row>
    <row r="16" spans="1:15" x14ac:dyDescent="0.25">
      <c r="A16" s="19"/>
      <c r="B16" s="19"/>
      <c r="C16" s="19"/>
      <c r="D16" s="19"/>
      <c r="E16" s="19"/>
      <c r="F16" s="19"/>
      <c r="G16" s="19"/>
      <c r="H16" s="19"/>
      <c r="I16" s="19"/>
    </row>
    <row r="17" spans="1:9" x14ac:dyDescent="0.25">
      <c r="A17" s="19"/>
      <c r="B17" s="19"/>
      <c r="C17" s="19"/>
      <c r="D17" s="19"/>
      <c r="E17" s="19"/>
      <c r="F17" s="19"/>
      <c r="G17" s="19"/>
      <c r="H17" s="19"/>
      <c r="I17" s="19"/>
    </row>
  </sheetData>
  <mergeCells count="2">
    <mergeCell ref="A1:I1"/>
    <mergeCell ref="A15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4</vt:i4>
      </vt:variant>
    </vt:vector>
  </HeadingPairs>
  <TitlesOfParts>
    <vt:vector size="4" baseType="lpstr">
      <vt:lpstr>KALKULATOR</vt:lpstr>
      <vt:lpstr>PROGRAM</vt:lpstr>
      <vt:lpstr>PROIZVODI</vt:lpstr>
      <vt:lpstr>RETRO KALKULACIJA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Golubić</dc:creator>
  <cp:lastModifiedBy>Andrea Golubić</cp:lastModifiedBy>
  <dcterms:modified xsi:type="dcterms:W3CDTF">2026-09-30T20:04:42Z</dcterms:modified>
</cp:coreProperties>
</file>